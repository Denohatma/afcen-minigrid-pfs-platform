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1 - Bid Summary" sheetId="2" state="visible" r:id="rId4"/>
    <sheet name="2 - Eligible CAPEX" sheetId="3" state="visible" r:id="rId5"/>
    <sheet name="3 - Ineligible CAPEX" sheetId="4" state="visible" r:id="rId6"/>
    <sheet name="4 - Grant Request" sheetId="5" state="visible" r:id="rId7"/>
    <sheet name="5 - Capital Stack" sheetId="6" state="visible" r:id="rId8"/>
    <sheet name="6 - Tariffs Settlement" sheetId="7" state="visible" r:id="rId9"/>
    <sheet name="7 - Revenue Forecast" sheetId="8" state="visible" r:id="rId10"/>
    <sheet name="8 - OPEX" sheetId="9" state="visible" r:id="rId11"/>
    <sheet name="9 - Cash Flow and DSCR" sheetId="10" state="visible" r:id="rId12"/>
    <sheet name="10 - Sensitivities" sheetId="11" state="visible" r:id="rId13"/>
    <sheet name="11 - Milestone Schedule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<sst xmlns="http://schemas.openxmlformats.org/spreadsheetml/2006/main" count="502" uniqueCount="377">
  <si>
    <t xml:space="preserve">DARES IMG Financial Proposal Template — Form 6</t>
  </si>
  <si>
    <t xml:space="preserve">REA / DARES PMU — Bidder-Facing Financial Proposal Workbook</t>
  </si>
  <si>
    <t xml:space="preserve">COLOUR CODING</t>
  </si>
  <si>
    <t xml:space="preserve">Blue text</t>
  </si>
  <si>
    <t xml:space="preserve">Hardcoded input cells — bidder enters data here</t>
  </si>
  <si>
    <t xml:space="preserve">Black text</t>
  </si>
  <si>
    <t xml:space="preserve">Calculated formula cells — do not overwrite</t>
  </si>
  <si>
    <t xml:space="preserve">Green text</t>
  </si>
  <si>
    <t xml:space="preserve">Cross-sheet links — values pulled automatically from other tabs</t>
  </si>
  <si>
    <t xml:space="preserve">Yellow background</t>
  </si>
  <si>
    <t xml:space="preserve">Input cells requiring bidder data</t>
  </si>
  <si>
    <t xml:space="preserve">Green background</t>
  </si>
  <si>
    <t xml:space="preserve">Auto-calculated or linked values</t>
  </si>
  <si>
    <t xml:space="preserve">SUBMISSION RULES</t>
  </si>
  <si>
    <t xml:space="preserve">Currency</t>
  </si>
  <si>
    <t xml:space="preserve">Use USD throughout unless Bid Data Sheet specifies NGN. State exchange rate used on Tab 1 — Bid Summary.</t>
  </si>
  <si>
    <t xml:space="preserve">Grant ceiling</t>
  </si>
  <si>
    <t xml:space="preserve">Requested grant % (Tab 3) must not exceed the ceiling stated in the Bid Data Sheet. An automatic check is built in.</t>
  </si>
  <si>
    <t xml:space="preserve">All tabs required</t>
  </si>
  <si>
    <t xml:space="preserve">All 11 tabs must be completed and submitted. Incomplete workbooks may be deemed non-responsive.</t>
  </si>
  <si>
    <t xml:space="preserve">PDF summary</t>
  </si>
  <si>
    <t xml:space="preserve">Print Tab 1 (Bid Summary) to PDF and sign. Submit both the signed PDF and this Excel workbook.</t>
  </si>
  <si>
    <t xml:space="preserve">Assumptions</t>
  </si>
  <si>
    <t xml:space="preserve">State all key assumptions in the Comments column on each tab. Undisclosed assumptions may not be used to justify post-award price changes.</t>
  </si>
  <si>
    <t xml:space="preserve">Milestone %</t>
  </si>
  <si>
    <t xml:space="preserve">Milestone tranche percentages on Tab 11 must match the grant agreement tranche schedule confirmed in the Bid Data Sheet.</t>
  </si>
  <si>
    <t xml:space="preserve">TABS IN THIS WORKBOOK</t>
  </si>
  <si>
    <t xml:space="preserve">Tab 1 — Bid Summary</t>
  </si>
  <si>
    <t xml:space="preserve">Executive summary: key metrics auto-linked from other tabs. Sign and submit as PDF.</t>
  </si>
  <si>
    <t xml:space="preserve">Tab 2 — Eligible CAPEX</t>
  </si>
  <si>
    <t xml:space="preserve">Itemised eligible CAPEX by category. Forms the basis for grant calculation.</t>
  </si>
  <si>
    <t xml:space="preserve">Tab 3 — Ineligible CAPEX</t>
  </si>
  <si>
    <t xml:space="preserve">Items not eligible for grant — must be disclosed for transparency.</t>
  </si>
  <si>
    <t xml:space="preserve">Tab 4 — Grant Request</t>
  </si>
  <si>
    <t xml:space="preserve">Auto-calculates grant ask from Tab 2; checks against ceiling.</t>
  </si>
  <si>
    <t xml:space="preserve">Tab 5 — Capital Stack</t>
  </si>
  <si>
    <t xml:space="preserve">Equity, debt, and grant funding structure.</t>
  </si>
  <si>
    <t xml:space="preserve">Tab 6 — Tariffs and Settlement</t>
  </si>
  <si>
    <t xml:space="preserve">Customer tariffs by class, grid energy purchase rate, and DUOS assumptions.</t>
  </si>
  <si>
    <t xml:space="preserve">Tab 7 — Revenue Forecast</t>
  </si>
  <si>
    <t xml:space="preserve">10-year revenue projection by customer class with collection rate.</t>
  </si>
  <si>
    <t xml:space="preserve">Tab 8 — OPEX</t>
  </si>
  <si>
    <t xml:space="preserve">Annual operating costs for the project.</t>
  </si>
  <si>
    <t xml:space="preserve">Tab 9 — Cash Flow and DSCR</t>
  </si>
  <si>
    <t xml:space="preserve">Project cash flow, debt service, and debt service coverage ratio.</t>
  </si>
  <si>
    <t xml:space="preserve">Tab 10 — Sensitivities</t>
  </si>
  <si>
    <t xml:space="preserve">7-scenario sensitivity table for key risk variables.</t>
  </si>
  <si>
    <t xml:space="preserve">Tab 11 — Milestone Schedule</t>
  </si>
  <si>
    <t xml:space="preserve">Grant tranche schedule aligned to verification milestones.</t>
  </si>
  <si>
    <t xml:space="preserve">DARES IMG FINANCIAL PROPOSAL — BID SUMMARY (Form 6, Tab 1)</t>
  </si>
  <si>
    <t xml:space="preserve">Sign this tab as PDF and submit with the Excel workbook</t>
  </si>
  <si>
    <t xml:space="preserve">BIDDER INFORMATION</t>
  </si>
  <si>
    <t xml:space="preserve">Bidder / Consortium Lead</t>
  </si>
  <si>
    <t xml:space="preserve">Legal name of entity submitting this bid</t>
  </si>
  <si>
    <t xml:space="preserve">Lot name / number</t>
  </si>
  <si>
    <t xml:space="preserve">As stated in Bid Data Sheet</t>
  </si>
  <si>
    <t xml:space="preserve">Exchange rate used (USD:NGN)</t>
  </si>
  <si>
    <t xml:space="preserve">Source and date — e.g. CBN I&amp;E Window, 15 Jun 2026</t>
  </si>
  <si>
    <t xml:space="preserve">Submission date</t>
  </si>
  <si>
    <t xml:space="preserve">DD-MMM-YYYY</t>
  </si>
  <si>
    <t xml:space="preserve">PROJECT FINANCIALS</t>
  </si>
  <si>
    <t xml:space="preserve">Total eligible CAPEX (USD)</t>
  </si>
  <si>
    <t xml:space="preserve">Total ineligible CAPEX (USD)</t>
  </si>
  <si>
    <t xml:space="preserve">Total project CAPEX (USD)</t>
  </si>
  <si>
    <t xml:space="preserve">Requested grant % of eligible CAPEX</t>
  </si>
  <si>
    <t xml:space="preserve">0.0%</t>
  </si>
  <si>
    <t xml:space="preserve">Requested grant amount (USD)</t>
  </si>
  <si>
    <t xml:space="preserve">Equity contribution (USD)</t>
  </si>
  <si>
    <t xml:space="preserve">Debt amount (USD)</t>
  </si>
  <si>
    <t xml:space="preserve">Total funding (Grant + Equity + Debt) (USD)</t>
  </si>
  <si>
    <t xml:space="preserve">Funding gap (Total CAPEX less Total Funding)</t>
  </si>
  <si>
    <t xml:space="preserve">TARIFF AND COMMERCIAL</t>
  </si>
  <si>
    <t xml:space="preserve">Residential tariff (USD/kWh)</t>
  </si>
  <si>
    <t xml:space="preserve">Commercial tariff (USD/kWh)</t>
  </si>
  <si>
    <t xml:space="preserve">PUE/MSME tariff (USD/kWh)</t>
  </si>
  <si>
    <t xml:space="preserve">Grid energy purchase tariff payable to DisCo (USD/kWh)</t>
  </si>
  <si>
    <t xml:space="preserve">DUOS/network-use charge (USD/kWh)</t>
  </si>
  <si>
    <t xml:space="preserve">KEY MILESTONES</t>
  </si>
  <si>
    <t xml:space="preserve">Expected financial close date</t>
  </si>
  <si>
    <t xml:space="preserve">Expected commissioning date</t>
  </si>
  <si>
    <t xml:space="preserve">Expected full connections date</t>
  </si>
  <si>
    <t xml:space="preserve">One-year utilisation verification date</t>
  </si>
  <si>
    <t xml:space="preserve">GRANT EFFICIENCY CHECK</t>
  </si>
  <si>
    <t xml:space="preserve">Grant as % of total project CAPEX</t>
  </si>
  <si>
    <t xml:space="preserve">Grant per committed connection (USD)</t>
  </si>
  <si>
    <t xml:space="preserve">Within grant ceiling?</t>
  </si>
  <si>
    <t xml:space="preserve">@</t>
  </si>
  <si>
    <t xml:space="preserve">Tab 2 — Eligible CAPEX (Basis for Grant Calculation)</t>
  </si>
  <si>
    <t xml:space="preserve">Enter amounts in USD. Blue cells are bidder inputs. Evidence column shows what must be provided to IVA post-award.</t>
  </si>
  <si>
    <t xml:space="preserve">CAPEX Category</t>
  </si>
  <si>
    <t xml:space="preserve">Eligible?</t>
  </si>
  <si>
    <t xml:space="preserve">Bidder Amount (USD)</t>
  </si>
  <si>
    <t xml:space="preserve">Notes / Assumptions</t>
  </si>
  <si>
    <t xml:space="preserve">Evidence Required (Post-Award)</t>
  </si>
  <si>
    <t xml:space="preserve">Solar PV modules, mounting structures, DC cabling and BOS</t>
  </si>
  <si>
    <t xml:space="preserve">Yes</t>
  </si>
  <si>
    <t xml:space="preserve">State supplier, model, quantity, unit cost assumption</t>
  </si>
  <si>
    <t xml:space="preserve">Supplier invoice, delivery note, serial number list, installation certificate, geotagged photos</t>
  </si>
  <si>
    <t xml:space="preserve">BESS — cells, modules, and BMS</t>
  </si>
  <si>
    <t xml:space="preserve">Supplier invoice, OEM certificate, commissioning test report</t>
  </si>
  <si>
    <t xml:space="preserve">PCS / Inverters and energy management system</t>
  </si>
  <si>
    <t xml:space="preserve">Supplier invoice, OEM certificate, commissioning test</t>
  </si>
  <si>
    <t xml:space="preserve">Backup generator (if permitted by Bid Data Sheet)</t>
  </si>
  <si>
    <t xml:space="preserve">Conditional — confirm with REA</t>
  </si>
  <si>
    <t xml:space="preserve">Invoice, emissions specification, commissioning test, capacity justification</t>
  </si>
  <si>
    <t xml:space="preserve">Distribution network rehabilitation — conductors, poles, transformers</t>
  </si>
  <si>
    <t xml:space="preserve">Yes — within approved service area</t>
  </si>
  <si>
    <t xml:space="preserve">BoQ, work completion certificate, as-built drawings, independent inspection, geotagged photos</t>
  </si>
  <si>
    <t xml:space="preserve">Distribution network extension — new service connections</t>
  </si>
  <si>
    <t xml:space="preserve">BoQ, completion certificate, as-built drawings, geotagged photos</t>
  </si>
  <si>
    <t xml:space="preserve">Interconnection equipment and protection systems at POI</t>
  </si>
  <si>
    <t xml:space="preserve">Yes — required for DisCo interface</t>
  </si>
  <si>
    <t xml:space="preserve">POI inspection record, protection relay settings, NEMSA/DisCo confirmation, invoices</t>
  </si>
  <si>
    <t xml:space="preserve">Customer prepaid/smart meters — supply and installation</t>
  </si>
  <si>
    <t xml:space="preserve">Yes — when installed and verified</t>
  </si>
  <si>
    <t xml:space="preserve">Meter serial number list, calibration certificate, customer register, activation data</t>
  </si>
  <si>
    <t xml:space="preserve">Bulk meter(s) for grid energy measurement</t>
  </si>
  <si>
    <t xml:space="preserve">Yes — required for settlement</t>
  </si>
  <si>
    <t xml:space="preserve">DisCo/NEMSA confirmation, calibration certificate, meter data protocol</t>
  </si>
  <si>
    <t xml:space="preserve">SCADA and remote monitoring system (directly required for IMG operation)</t>
  </si>
  <si>
    <t xml:space="preserve">System acceptance test, data connectivity confirmation, operator manual</t>
  </si>
  <si>
    <t xml:space="preserve">Civil works directly tied to approved assets (foundations, earthing, cabling trenches)</t>
  </si>
  <si>
    <t xml:space="preserve">Yes — where verified</t>
  </si>
  <si>
    <t xml:space="preserve">Engineer completion certificate, inspection report, invoices</t>
  </si>
  <si>
    <t xml:space="preserve">Spare parts and consumables (first-year critical spares only where approved)</t>
  </si>
  <si>
    <t xml:space="preserve">Approved spare parts list, invoices, delivery confirmation</t>
  </si>
  <si>
    <t xml:space="preserve">TOTAL ELIGIBLE CAPEX</t>
  </si>
  <si>
    <t xml:space="preserve">Auto-calculated. This figure feeds the Grant Request tab.</t>
  </si>
  <si>
    <t xml:space="preserve">Tab 3 — Ineligible CAPEX (Transparency Disclosure)</t>
  </si>
  <si>
    <t xml:space="preserve">These items are NOT eligible for grant funding. Disclose for transparency and for evaluators to assess full project cost.</t>
  </si>
  <si>
    <t xml:space="preserve">Ineligible CAPEX Category</t>
  </si>
  <si>
    <t xml:space="preserve">Amount (USD)</t>
  </si>
  <si>
    <t xml:space="preserve">Notes</t>
  </si>
  <si>
    <t xml:space="preserve">Land acquisition and site preparation costs</t>
  </si>
  <si>
    <t xml:space="preserve">Describe if applicable</t>
  </si>
  <si>
    <t xml:space="preserve">Developer profit and performance fees</t>
  </si>
  <si>
    <t xml:space="preserve">General corporate overhead and head-office allocation</t>
  </si>
  <si>
    <t xml:space="preserve">Taxes and import duties (unless expressly permitted in Bid Data Sheet)</t>
  </si>
  <si>
    <t xml:space="preserve">Feasibility studies, bid preparation, and due diligence costs</t>
  </si>
  <si>
    <t xml:space="preserve">Financing costs — arrangement fees, commitment fees, interest during construction</t>
  </si>
  <si>
    <t xml:space="preserve">Working capital and initial O&amp;M reserve</t>
  </si>
  <si>
    <t xml:space="preserve">Penalties, liquidated damages, and insurance claims</t>
  </si>
  <si>
    <t xml:space="preserve">Other items not on the eligible CAPEX list — specify below</t>
  </si>
  <si>
    <t xml:space="preserve">Other (specify)</t>
  </si>
  <si>
    <t xml:space="preserve">TOTAL INELIGIBLE CAPEX</t>
  </si>
  <si>
    <t xml:space="preserve">Grant = Eligible CAPEX × Requested %. Must not exceed ceiling. Auto-check built in.</t>
  </si>
  <si>
    <t xml:space="preserve">Total eligible CAPEX (from Tab 2)</t>
  </si>
  <si>
    <t xml:space="preserve">Auto-linked — do not edit</t>
  </si>
  <si>
    <t xml:space="preserve">Grant ceiling % (from Bid Data Sheet — insert before issue)</t>
  </si>
  <si>
    <t xml:space="preserve">REA/DARES to complete before issuing this workbook</t>
  </si>
  <si>
    <t xml:space="preserve">BIDDER GRANT REQUEST</t>
  </si>
  <si>
    <t xml:space="preserve">Must be ≤ ceiling in row 3</t>
  </si>
  <si>
    <t xml:space="preserve">Auto-calculated: Eligible CAPEX × Grant %</t>
  </si>
  <si>
    <t xml:space="preserve">GRANT CEILING CHECK</t>
  </si>
  <si>
    <t xml:space="preserve">Grant ceiling %</t>
  </si>
  <si>
    <t xml:space="preserve">Copy from row 3</t>
  </si>
  <si>
    <t xml:space="preserve">Maximum permissible grant amount (USD)</t>
  </si>
  <si>
    <t xml:space="preserve">Auto-calculated ceiling</t>
  </si>
  <si>
    <t xml:space="preserve">Bidder grant within ceiling?</t>
  </si>
  <si>
    <t xml:space="preserve">Auto-check</t>
  </si>
  <si>
    <t xml:space="preserve">GRANT CALCULATION CHECK</t>
  </si>
  <si>
    <t xml:space="preserve">Total project CAPEX (Eligible + Ineligible)</t>
  </si>
  <si>
    <t xml:space="preserve">Total project cost — evaluators use this to assess grant efficiency</t>
  </si>
  <si>
    <t xml:space="preserve">Grants that represent &gt;60% of total CAPEX may raise VFM questions</t>
  </si>
  <si>
    <t xml:space="preserve">Eligible CAPEX as % of total CAPEX</t>
  </si>
  <si>
    <t xml:space="preserve">Proportion of project cost that is grant-eligible</t>
  </si>
  <si>
    <t xml:space="preserve">Show all sources of funding. Total must equal or exceed total project CAPEX.</t>
  </si>
  <si>
    <t xml:space="preserve">Funding Source</t>
  </si>
  <si>
    <t xml:space="preserve">Terms / Notes</t>
  </si>
  <si>
    <t xml:space="preserve">Grant (auto-linked from Tab 4)</t>
  </si>
  <si>
    <t xml:space="preserve">Auto-linked from Grant Request tab</t>
  </si>
  <si>
    <t xml:space="preserve">Equity — developer own funds</t>
  </si>
  <si>
    <t xml:space="preserve">Name of shareholder; board resolution reference</t>
  </si>
  <si>
    <t xml:space="preserve">Equity — co-investor (if any)</t>
  </si>
  <si>
    <t xml:space="preserve">Name of co-investor; commitment letter reference</t>
  </si>
  <si>
    <t xml:space="preserve">Debt — senior lender</t>
  </si>
  <si>
    <t xml:space="preserve">Lender name; indicative rate %; tenor years; grace period months</t>
  </si>
  <si>
    <t xml:space="preserve">Debt — subordinated / mezzanine (if any)</t>
  </si>
  <si>
    <t xml:space="preserve">Lender name; terms; ranking vs senior debt</t>
  </si>
  <si>
    <t xml:space="preserve">Other — specify</t>
  </si>
  <si>
    <t xml:space="preserve">Describe source and conditionality</t>
  </si>
  <si>
    <t xml:space="preserve">TOTAL FUNDING (sum of all sources)</t>
  </si>
  <si>
    <t xml:space="preserve">Must equal or exceed total project CAPEX</t>
  </si>
  <si>
    <t xml:space="preserve">Total project CAPEX (from Tabs 2+3)</t>
  </si>
  <si>
    <t xml:space="preserve">Auto-linked</t>
  </si>
  <si>
    <t xml:space="preserve">Must be zero or negative for bid to be fully funded</t>
  </si>
  <si>
    <t xml:space="preserve">Tab 6 — Tariffs and Settlement Assumptions</t>
  </si>
  <si>
    <t xml:space="preserve">All tariffs in USD/kWh unless Bid Data Sheet specifies NGN. State exchange rate on Tab 1.</t>
  </si>
  <si>
    <t xml:space="preserve">Item</t>
  </si>
  <si>
    <t xml:space="preserve">Rate / Assumption</t>
  </si>
  <si>
    <t xml:space="preserve">CUSTOMER TARIFFS</t>
  </si>
  <si>
    <t xml:space="preserve">State assumption basis and source</t>
  </si>
  <si>
    <t xml:space="preserve">Anchor customer tariff (USD/kWh or flat rate)</t>
  </si>
  <si>
    <t xml:space="preserve">Annual tariff escalation rate (%/year)</t>
  </si>
  <si>
    <t xml:space="preserve">NERC tariff regulatory pathway</t>
  </si>
  <si>
    <t xml:space="preserve">DISCO SETTLEMENT</t>
  </si>
  <si>
    <t xml:space="preserve">DUOS / network-use charge (USD/kWh)</t>
  </si>
  <si>
    <t xml:space="preserve">Monthly invoice settlement cycle (days after month end)</t>
  </si>
  <si>
    <t xml:space="preserve">Legacy customer arrears treatment</t>
  </si>
  <si>
    <t xml:space="preserve">Dispute resolution reference (per tripartite agreement)</t>
  </si>
  <si>
    <t xml:space="preserve">KEY COMMERCIAL ASSUMPTIONS</t>
  </si>
  <si>
    <t xml:space="preserve">System availability target (%/year)</t>
  </si>
  <si>
    <t xml:space="preserve">Minimum supply hours per day (committed)</t>
  </si>
  <si>
    <t xml:space="preserve">Annual demand growth assumption (%/year)</t>
  </si>
  <si>
    <t xml:space="preserve">Grid supply hours per day (base case assumption)</t>
  </si>
  <si>
    <t xml:space="preserve">Battery replacement assumed in Year</t>
  </si>
  <si>
    <t xml:space="preserve">Battery replacement cost assumption (USD)</t>
  </si>
  <si>
    <t xml:space="preserve">Tab 7 — Revenue Forecast (10-Year)</t>
  </si>
  <si>
    <t xml:space="preserve">State assumptions in Notes column. Collection rate applied to gross revenue gives collected revenue.</t>
  </si>
  <si>
    <t xml:space="preserve">Revenue Item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</si>
  <si>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</si>
  <si>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</si>
  <si>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</si>
  <si>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</si>
  <si>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</si>
  <si>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</si>
  <si>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</si>
  <si>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</si>
  <si>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</si>
  <si>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</si>
  <si>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Unit</t>
  </si>
  <si>
    <t xml:space="preserve">CONNECTIONS AND DEMAND</t>
  </si>
  <si>
    <t xml:space="preserve">Residential customers (number)</t>
  </si>
  <si>
    <t xml:space="preserve">#,##0</t>
  </si>
  <si>
    <t xml:space="preserve">Ramp up from commissioning to full target</t>
  </si>
  <si>
    <t xml:space="preserve">Commercial customers (number)</t>
  </si>
  <si>
    <t xml:space="preserve">Include MSMEs in commercial or split separately</t>
  </si>
  <si>
    <t xml:space="preserve">PUE/MSME customers (number)</t>
  </si>
  <si>
    <t xml:space="preserve">Anchor and productive use customers</t>
  </si>
  <si>
    <t xml:space="preserve">Average residential consumption (kWh/customer/month)</t>
  </si>
  <si>
    <t xml:space="preserve">#,##0.0</t>
  </si>
  <si>
    <t xml:space="preserve">MTF tier assumption</t>
  </si>
  <si>
    <t xml:space="preserve">Average commercial consumption (kWh/customer/month)</t>
  </si>
  <si>
    <t xml:space="preserve">Based on customer segmentation</t>
  </si>
  <si>
    <t xml:space="preserve">Average PUE consumption (kWh/customer/month)</t>
  </si>
  <si>
    <t xml:space="preserve">Based on PUE anchor assessment</t>
  </si>
  <si>
    <t xml:space="preserve">ENERGY SOLD</t>
  </si>
  <si>
    <t xml:space="preserve">Residential kWh sold (annual)</t>
  </si>
  <si>
    <t xml:space="preserve">= connections × monthly kWh × 12</t>
  </si>
  <si>
    <t xml:space="preserve">Commercial kWh sold (annual)</t>
  </si>
  <si>
    <t xml:space="preserve">PUE/MSME kWh sold (annual)</t>
  </si>
  <si>
    <t xml:space="preserve">Total kWh sold (annual)</t>
  </si>
  <si>
    <t xml:space="preserve">Sum of above</t>
  </si>
  <si>
    <t xml:space="preserve">REVENUE</t>
  </si>
  <si>
    <t xml:space="preserve">Residential gross revenue (USD)</t>
  </si>
  <si>
    <t xml:space="preserve">"$"#,##0;("$"#,##0);"-"</t>
  </si>
  <si>
    <t xml:space="preserve">= kWh × residential tariff</t>
  </si>
  <si>
    <t xml:space="preserve">Commercial gross revenue (USD)</t>
  </si>
  <si>
    <t xml:space="preserve">= kWh × commercial tariff</t>
  </si>
  <si>
    <t xml:space="preserve">PUE/MSME gross revenue (USD)</t>
  </si>
  <si>
    <t xml:space="preserve">= kWh × PUE tariff</t>
  </si>
  <si>
    <t xml:space="preserve">Total gross revenue (USD)</t>
  </si>
  <si>
    <t xml:space="preserve">Collection rate (%)</t>
  </si>
  <si>
    <t xml:space="preserve">Realistic collection rate assumption with basis stated</t>
  </si>
  <si>
    <t xml:space="preserve">Total collected revenue (USD)</t>
  </si>
  <si>
    <t xml:space="preserve">= gross revenue × collection rate</t>
  </si>
  <si>
    <t xml:space="preserve">GRID ENERGY COSTS</t>
  </si>
  <si>
    <t xml:space="preserve">Grid import kWh (annual)</t>
  </si>
  <si>
    <t xml:space="preserve">Estimated grid energy purchased from DisCo</t>
  </si>
  <si>
    <t xml:space="preserve">Grid energy cost — DisCo payment (USD)</t>
  </si>
  <si>
    <t xml:space="preserve">= grid import kWh × DisCo tariff</t>
  </si>
  <si>
    <t xml:space="preserve">DUOS/network-use charge (USD)</t>
  </si>
  <si>
    <t xml:space="preserve">= grid import kWh × DUOS rate</t>
  </si>
  <si>
    <t xml:space="preserve">Net revenue after DisCo settlement (USD)</t>
  </si>
  <si>
    <t xml:space="preserve">= collected revenue − grid cost − DUOS</t>
  </si>
  <si>
    <t xml:space="preserve">Tab 8 — Annual Operating Costs (OPEX)</t>
  </si>
  <si>
    <t xml:space="preserve">Enter annual OPEX in USD. Year 1 = first full year of operation post-commissioning.</t>
  </si>
  <si>
    <t xml:space="preserve">OPEX Category</t>
  </si>
  <si>
    <t xml:space="preserve">O&amp;M staffing — site technician(s)</t>
  </si>
  <si>
    <t xml:space="preserve">Local technical staff; salary, benefits, training</t>
  </si>
  <si>
    <t xml:space="preserve">O&amp;M staffing — regional/remote support</t>
  </si>
  <si>
    <t xml:space="preserve">Head office or outsourced technical support allocation</t>
  </si>
  <si>
    <t xml:space="preserve">Routine maintenance — PV and BESS</t>
  </si>
  <si>
    <t xml:space="preserve">Module cleaning, inverter checks, battery testing</t>
  </si>
  <si>
    <t xml:space="preserve">Routine maintenance — distribution network</t>
  </si>
  <si>
    <t xml:space="preserve">Line inspection, pole maintenance, transformer servicing</t>
  </si>
  <si>
    <t xml:space="preserve">Spare parts and consumables</t>
  </si>
  <si>
    <t xml:space="preserve">Critical spares holding and annual replacements</t>
  </si>
  <si>
    <t xml:space="preserve">Insurance — assets and liability</t>
  </si>
  <si>
    <t xml:space="preserve">Asset insurance rate and estimated premium</t>
  </si>
  <si>
    <t xml:space="preserve">Land lease / community payments</t>
  </si>
  <si>
    <t xml:space="preserve">Annual site lease, community development contribution if any</t>
  </si>
  <si>
    <t xml:space="preserve">Monitoring and data systems — annual subscription/licence</t>
  </si>
  <si>
    <t xml:space="preserve">SCADA/AMI platform, data costs, cybersecurity</t>
  </si>
  <si>
    <t xml:space="preserve">Security</t>
  </si>
  <si>
    <t xml:space="preserve">Site security — guards, fencing maintenance, alarm</t>
  </si>
  <si>
    <t xml:space="preserve">Customer service and billing</t>
  </si>
  <si>
    <t xml:space="preserve">Metering platform, mobile money, customer support</t>
  </si>
  <si>
    <t xml:space="preserve">Management fee / head-office allocation (if applicable)</t>
  </si>
  <si>
    <t xml:space="preserve">Developer overhead allocation; note if not eligible for grant</t>
  </si>
  <si>
    <t xml:space="preserve">Working capital and reserves (annual contribution)</t>
  </si>
  <si>
    <t xml:space="preserve">O&amp;M reserve, debt service reserve if structured</t>
  </si>
  <si>
    <t xml:space="preserve">Describe</t>
  </si>
  <si>
    <t xml:space="preserve">TOTAL ANNUAL OPEX</t>
  </si>
  <si>
    <t xml:space="preserve">Tab 9 — Project Cash Flow and Debt Service Coverage Ratio (DSCR)</t>
  </si>
  <si>
    <t xml:space="preserve">All values in USD. DSCR = EBITDA / Annual Debt Service. Lender threshold typically ≥ 1.3x.</t>
  </si>
  <si>
    <t xml:space="preserve">PROJECT CASH FLOW</t>
  </si>
  <si>
    <t xml:space="preserve">Total collected revenue (from Tab 7)</t>
  </si>
  <si>
    <t xml:space="preserve">Less: Total OPEX (from Tab 8)</t>
  </si>
  <si>
    <t xml:space="preserve">EBITDA (Revenue minus OPEX)</t>
  </si>
  <si>
    <t xml:space="preserve">CAPEX (Year 0 = total; Year 1+ = 0 unless phased)</t>
  </si>
  <si>
    <t xml:space="preserve">Grant receipt by milestone</t>
  </si>
  <si>
    <t xml:space="preserve">Equity contribution</t>
  </si>
  <si>
    <t xml:space="preserve">Debt drawdown</t>
  </si>
  <si>
    <t xml:space="preserve">DEBT SERVICE</t>
  </si>
  <si>
    <t xml:space="preserve">Annual debt repayment (principal)</t>
  </si>
  <si>
    <t xml:space="preserve">Annual interest payment</t>
  </si>
  <si>
    <t xml:space="preserve">Total annual debt service</t>
  </si>
  <si>
    <t xml:space="preserve">RETURNS AND COVERAGE</t>
  </si>
  <si>
    <t xml:space="preserve">Net cash flow after debt service</t>
  </si>
  <si>
    <t xml:space="preserve">Cumulative net cash flow</t>
  </si>
  <si>
    <t xml:space="preserve">Debt Service Coverage Ratio (DSCR)</t>
  </si>
  <si>
    <t xml:space="preserve">DSCR ≥ 1.3x (lender threshold)?</t>
  </si>
  <si>
    <t xml:space="preserve">Tab 10 — Sensitivity Analysis</t>
  </si>
  <si>
    <t xml:space="preserve">Show impact of key risk variables on collected revenue and DSCR. State base assumption and downside/upside cases.</t>
  </si>
  <si>
    <t xml:space="preserve">Sensitivity Variable</t>
  </si>
  <si>
    <t xml:space="preserve">Base Case Assumption</t>
  </si>
  <si>
    <t xml:space="preserve">Downside Case</t>
  </si>
  <si>
    <t xml:space="preserve">Upside Case</t>
  </si>
  <si>
    <t xml:space="preserve">Bidder Comment</t>
  </si>
  <si>
    <t xml:space="preserve">Customer demand (total kWh sold)</t>
  </si>
  <si>
    <t xml:space="preserve">Base forecast from Tab 7</t>
  </si>
  <si>
    <t xml:space="preserve">-20% of base</t>
  </si>
  <si>
    <t xml:space="preserve">+20% of base</t>
  </si>
  <si>
    <t xml:space="preserve">State main demand risk driver</t>
  </si>
  <si>
    <t xml:space="preserve">Revenue collection rate</t>
  </si>
  <si>
    <t xml:space="preserve">90% of gross revenue billed</t>
  </si>
  <si>
    <t xml:space="preserve">75%</t>
  </si>
  <si>
    <t xml:space="preserve">95%</t>
  </si>
  <si>
    <t xml:space="preserve">Explain collection strategy and mitigation</t>
  </si>
  <si>
    <t xml:space="preserve">USD:NGN exchange rate</t>
  </si>
  <si>
    <t xml:space="preserve">Rate stated on Tab 1</t>
  </si>
  <si>
    <t xml:space="preserve">+25% NGN depreciation</t>
  </si>
  <si>
    <t xml:space="preserve">-10% NGN appreciation</t>
  </si>
  <si>
    <t xml:space="preserve">State FX risk exposure and hedging approach</t>
  </si>
  <si>
    <t xml:space="preserve">Total CAPEX overrun</t>
  </si>
  <si>
    <t xml:space="preserve">0% contingency</t>
  </si>
  <si>
    <t xml:space="preserve">+15% on total eligible CAPEX</t>
  </si>
  <si>
    <t xml:space="preserve">-5% on total eligible CAPEX</t>
  </si>
  <si>
    <t xml:space="preserve">State procurement strategy and fixed-price arrangements</t>
  </si>
  <si>
    <t xml:space="preserve">Tariff approval delay</t>
  </si>
  <si>
    <t xml:space="preserve">No delay</t>
  </si>
  <si>
    <t xml:space="preserve">6-month delay to NERC approval</t>
  </si>
  <si>
    <t xml:space="preserve">Approval before commissioning</t>
  </si>
  <si>
    <t xml:space="preserve">State NERC engagement status and timeline</t>
  </si>
  <si>
    <t xml:space="preserve">Grid supply hours from DisCo</t>
  </si>
  <si>
    <t xml:space="preserve">Base case stated in Tab 6</t>
  </si>
  <si>
    <t xml:space="preserve">-30% of base grid supply hours</t>
  </si>
  <si>
    <t xml:space="preserve">+20% of base grid supply hours</t>
  </si>
  <si>
    <t xml:space="preserve">Describe grid reliability risk and DER sizing buffer</t>
  </si>
  <si>
    <t xml:space="preserve">Battery replacement cost</t>
  </si>
  <si>
    <t xml:space="preserve">Base case stated in Tab 8</t>
  </si>
  <si>
    <t xml:space="preserve">+20% on replacement cost</t>
  </si>
  <si>
    <t xml:space="preserve">-10% on replacement cost</t>
  </si>
  <si>
    <t xml:space="preserve">State warranty terms and replacement year assumption</t>
  </si>
  <si>
    <t xml:space="preserve">SENSITIVITY IMPACT ON KEY METRICS — BIDDER TO COMPLETE</t>
  </si>
  <si>
    <t xml:space="preserve">Sensitivity</t>
  </si>
  <si>
    <t xml:space="preserve">Downside DSCR (Year 5)</t>
  </si>
  <si>
    <t xml:space="preserve">Base DSCR (Year 5)</t>
  </si>
  <si>
    <t xml:space="preserve">Upside DSCR (Year 5)</t>
  </si>
  <si>
    <t xml:space="preserve">Comment</t>
  </si>
  <si>
    <t xml:space="preserve">Tab 11 — Grant Disbursement Milestone Schedule</t>
  </si>
  <si>
    <t xml:space="preserve">Tranche percentages must match the grant agreement as confirmed in the Bid Data Sheet. Evidence column shows IVA requirements.</t>
  </si>
  <si>
    <t xml:space="preserve">Milestone</t>
  </si>
  <si>
    <t xml:space="preserve">Tranche % of Total Grant</t>
  </si>
  <si>
    <t xml:space="preserve">Grant Amount (USD)</t>
  </si>
  <si>
    <t xml:space="preserve">Evidence Required for Verification</t>
  </si>
  <si>
    <t xml:space="preserve">Expected Date</t>
  </si>
  <si>
    <t xml:space="preserve">Commissioning — DER system energised and NEMSA certified</t>
  </si>
  <si>
    <t xml:space="preserve">40% (confirm in Bid Data Sheet)</t>
  </si>
  <si>
    <t xml:space="preserve">NEMSA commissioning certificate; as-built drawings; equipment serial list; commissioning test report; geotagged site inspection photos; IVA verification report</t>
  </si>
  <si>
    <t xml:space="preserve">Verified Connections — agreed customer count metered, onboarded, and receiving supply</t>
  </si>
  <si>
    <t xml:space="preserve">Customer register with meter IDs and GPS coordinates; customer category breakdown; activation records; IVA sample verification report; connection compliance certificate</t>
  </si>
  <si>
    <t xml:space="preserve">One-Year Utilisation/Performance — 12 months continuous operation meeting capacity utilisation, supply hours, and service quality thresholds</t>
  </si>
  <si>
    <t xml:space="preserve">20% (confirm in Bid Data Sheet)</t>
  </si>
  <si>
    <t xml:space="preserve">12-month metering report; capacity utilisation calculation; supply hours log; energy sold and collection rate data; SAIDI/SAIFI report; DisCo settlement records for 12 months; E&amp;S compliance confirmation; IVA verification report</t>
  </si>
  <si>
    <t xml:space="preserve">TOTAL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</si>
</sst>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Leg&quot;al na&quot;me&quot; of &quot;e&quot;ntity &quot;s&quot;ub&quot;m&quot;ittin&quot;g&quot; t&quot;h\is&quot; bi&quot;d"/>
    <numFmt numFmtId="166" formatCode="\As\ s&quot;tat&quot;ed&quot; in Bi&quot;d\ d&quot;ata &quot;shee\t"/>
    <numFmt numFmtId="167" formatCode="dd\-mmm\-yyyy"/>
    <numFmt numFmtId="168" formatCode="\$#,##0;&quot;($&quot;#,##0\);\-"/>
    <numFmt numFmtId="169" formatCode="0.0%"/>
    <numFmt numFmtId="170" formatCode="\$0.000"/>
    <numFmt numFmtId="171" formatCode="@"/>
    <numFmt numFmtId="172" formatCode="General"/>
    <numFmt numFmtId="173" formatCode="#,##0"/>
    <numFmt numFmtId="174" formatCode="#,##0.0"/>
    <numFmt numFmtId="175" formatCode="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64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10"/>
      <color rgb="FF7B4F00"/>
      <name val="Arial"/>
      <family val="0"/>
      <charset val="1"/>
    </font>
    <font>
      <i val="true"/>
      <sz val="9"/>
      <color rgb="FF1B5E2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A1628"/>
        <bgColor rgb="FF000000"/>
      </patternFill>
    </fill>
    <fill>
      <patternFill patternType="solid">
        <fgColor rgb="FFC8922A"/>
        <bgColor rgb="FFFF8080"/>
      </patternFill>
    </fill>
    <fill>
      <patternFill patternType="solid">
        <fgColor rgb="FFF2F2F2"/>
        <bgColor rgb="FFE8F5E9"/>
      </patternFill>
    </fill>
    <fill>
      <patternFill patternType="solid">
        <fgColor rgb="FFFFFFFF"/>
        <bgColor rgb="FFFFF8E1"/>
      </patternFill>
    </fill>
    <fill>
      <patternFill patternType="solid">
        <fgColor rgb="FFFFF8E1"/>
        <bgColor rgb="FFF2F2F2"/>
      </patternFill>
    </fill>
    <fill>
      <patternFill patternType="solid">
        <fgColor rgb="FFE8F5E9"/>
        <bgColor rgb="FFF2F2F2"/>
      </patternFill>
    </fill>
    <fill>
      <patternFill patternType="solid">
        <fgColor rgb="FFFFEBEE"/>
        <bgColor rgb="FFF2F2F2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medium">
        <color rgb="FFC8922A"/>
      </left>
      <right style="medium">
        <color rgb="FFC8922A"/>
      </right>
      <top style="medium">
        <color rgb="FFC8922A"/>
      </top>
      <bottom style="medium">
        <color rgb="FFC8922A"/>
      </bottom>
      <diagonal/>
    </border>
    <border diagonalUp="false" diagonalDown="false">
      <left style="medium">
        <color rgb="FFC8922A"/>
      </left>
      <right/>
      <top style="medium">
        <color rgb="FFC8922A"/>
      </top>
      <bottom style="medium">
        <color rgb="FFC8922A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1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922A"/>
      <rgbColor rgb="FFFF6600"/>
      <rgbColor rgb="FF555555"/>
      <rgbColor rgb="FFAAAAAA"/>
      <rgbColor rgb="FF003366"/>
      <rgbColor rgb="FF339966"/>
      <rgbColor rgb="FF0A1628"/>
      <rgbColor rgb="FF333300"/>
      <rgbColor rgb="FF7B4F00"/>
      <rgbColor rgb="FF993366"/>
      <rgbColor rgb="FF333399"/>
      <rgbColor rgb="FF1B5E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4" min="3" style="1" width="20"/>
    <col collapsed="false" customWidth="true" hidden="false" outlineLevel="0" max="5" min="5" style="1" width="15"/>
  </cols>
  <sheetData>
    <row r="1" customFormat="false" ht="30" hidden="false" customHeight="true" outlineLevel="0" collapsed="false">
      <c r="B1" s="2" t="s">
        <v>0</v>
      </c>
      <c r="C1" s="2"/>
      <c r="D1" s="2"/>
      <c r="E1" s="2"/>
    </row>
    <row r="2" customFormat="false" ht="19.5" hidden="false" customHeight="true" outlineLevel="0" collapsed="false">
      <c r="B2" s="3" t="s">
        <v>1</v>
      </c>
      <c r="C2" s="3"/>
      <c r="D2" s="3"/>
      <c r="E2" s="3"/>
    </row>
    <row r="4" customFormat="false" ht="18" hidden="false" customHeight="true" outlineLevel="0" collapsed="false"/>
    <row r="5" customFormat="false" ht="18" hidden="false" customHeight="true" outlineLevel="0" collapsed="false">
      <c r="B5" s="4" t="s">
        <v>2</v>
      </c>
      <c r="C5" s="4"/>
      <c r="D5" s="4"/>
      <c r="E5" s="4"/>
    </row>
    <row r="6" customFormat="false" ht="18" hidden="false" customHeight="true" outlineLevel="0" collapsed="false">
      <c r="B6" s="5" t="s">
        <v>3</v>
      </c>
      <c r="C6" s="6" t="s">
        <v>4</v>
      </c>
      <c r="D6" s="6"/>
      <c r="E6" s="6"/>
    </row>
    <row r="7" customFormat="false" ht="18" hidden="false" customHeight="true" outlineLevel="0" collapsed="false">
      <c r="B7" s="5" t="s">
        <v>5</v>
      </c>
      <c r="C7" s="6" t="s">
        <v>6</v>
      </c>
      <c r="D7" s="6"/>
      <c r="E7" s="6"/>
    </row>
    <row r="8" customFormat="false" ht="18" hidden="false" customHeight="true" outlineLevel="0" collapsed="false">
      <c r="B8" s="5" t="s">
        <v>7</v>
      </c>
      <c r="C8" s="6" t="s">
        <v>8</v>
      </c>
      <c r="D8" s="6"/>
      <c r="E8" s="6"/>
    </row>
    <row r="9" customFormat="false" ht="18" hidden="false" customHeight="true" outlineLevel="0" collapsed="false">
      <c r="B9" s="5" t="s">
        <v>9</v>
      </c>
      <c r="C9" s="6" t="s">
        <v>10</v>
      </c>
      <c r="D9" s="6"/>
      <c r="E9" s="6"/>
    </row>
    <row r="10" customFormat="false" ht="18" hidden="false" customHeight="true" outlineLevel="0" collapsed="false">
      <c r="B10" s="5" t="s">
        <v>11</v>
      </c>
      <c r="C10" s="6" t="s">
        <v>12</v>
      </c>
      <c r="D10" s="6"/>
      <c r="E10" s="6"/>
    </row>
    <row r="11" customFormat="false" ht="18" hidden="false" customHeight="true" outlineLevel="0" collapsed="false"/>
    <row r="12" customFormat="false" ht="18" hidden="false" customHeight="true" outlineLevel="0" collapsed="false">
      <c r="B12" s="4" t="s">
        <v>13</v>
      </c>
      <c r="C12" s="4"/>
      <c r="D12" s="4"/>
      <c r="E12" s="4"/>
    </row>
    <row r="13" customFormat="false" ht="27.75" hidden="false" customHeight="true" outlineLevel="0" collapsed="false">
      <c r="B13" s="5" t="s">
        <v>14</v>
      </c>
      <c r="C13" s="6" t="s">
        <v>15</v>
      </c>
      <c r="D13" s="6"/>
      <c r="E13" s="6"/>
    </row>
    <row r="14" customFormat="false" ht="27.75" hidden="false" customHeight="true" outlineLevel="0" collapsed="false">
      <c r="B14" s="5" t="s">
        <v>16</v>
      </c>
      <c r="C14" s="6" t="s">
        <v>17</v>
      </c>
      <c r="D14" s="6"/>
      <c r="E14" s="6"/>
    </row>
    <row r="15" customFormat="false" ht="27.75" hidden="false" customHeight="true" outlineLevel="0" collapsed="false">
      <c r="B15" s="5" t="s">
        <v>18</v>
      </c>
      <c r="C15" s="6" t="s">
        <v>19</v>
      </c>
      <c r="D15" s="6"/>
      <c r="E15" s="6"/>
    </row>
    <row r="16" customFormat="false" ht="27.75" hidden="false" customHeight="true" outlineLevel="0" collapsed="false">
      <c r="B16" s="5" t="s">
        <v>20</v>
      </c>
      <c r="C16" s="6" t="s">
        <v>21</v>
      </c>
      <c r="D16" s="6"/>
      <c r="E16" s="6"/>
    </row>
    <row r="17" customFormat="false" ht="27.75" hidden="false" customHeight="true" outlineLevel="0" collapsed="false">
      <c r="B17" s="5" t="s">
        <v>22</v>
      </c>
      <c r="C17" s="6" t="s">
        <v>23</v>
      </c>
      <c r="D17" s="6"/>
      <c r="E17" s="6"/>
    </row>
    <row r="18" customFormat="false" ht="27.75" hidden="false" customHeight="true" outlineLevel="0" collapsed="false">
      <c r="B18" s="5" t="s">
        <v>24</v>
      </c>
      <c r="C18" s="6" t="s">
        <v>25</v>
      </c>
      <c r="D18" s="6"/>
      <c r="E18" s="6"/>
    </row>
    <row r="19" customFormat="false" ht="18" hidden="false" customHeight="true" outlineLevel="0" collapsed="false"/>
    <row r="20" customFormat="false" ht="18" hidden="false" customHeight="true" outlineLevel="0" collapsed="false">
      <c r="B20" s="4" t="s">
        <v>26</v>
      </c>
      <c r="C20" s="4"/>
      <c r="D20" s="4"/>
      <c r="E20" s="4"/>
    </row>
    <row r="21" customFormat="false" ht="27.75" hidden="false" customHeight="true" outlineLevel="0" collapsed="false">
      <c r="B21" s="5" t="s">
        <v>27</v>
      </c>
      <c r="C21" s="6" t="s">
        <v>28</v>
      </c>
      <c r="D21" s="6"/>
      <c r="E21" s="6"/>
    </row>
    <row r="22" customFormat="false" ht="18" hidden="false" customHeight="true" outlineLevel="0" collapsed="false">
      <c r="B22" s="5" t="s">
        <v>29</v>
      </c>
      <c r="C22" s="6" t="s">
        <v>30</v>
      </c>
      <c r="D22" s="6"/>
      <c r="E22" s="6"/>
    </row>
    <row r="23" customFormat="false" ht="18" hidden="false" customHeight="true" outlineLevel="0" collapsed="false">
      <c r="B23" s="5" t="s">
        <v>31</v>
      </c>
      <c r="C23" s="6" t="s">
        <v>32</v>
      </c>
      <c r="D23" s="6"/>
      <c r="E23" s="6"/>
    </row>
    <row r="24" customFormat="false" ht="18" hidden="false" customHeight="true" outlineLevel="0" collapsed="false">
      <c r="B24" s="5" t="s">
        <v>33</v>
      </c>
      <c r="C24" s="6" t="s">
        <v>34</v>
      </c>
      <c r="D24" s="6"/>
      <c r="E24" s="6"/>
    </row>
    <row r="25" customFormat="false" ht="18" hidden="false" customHeight="true" outlineLevel="0" collapsed="false">
      <c r="B25" s="5" t="s">
        <v>35</v>
      </c>
      <c r="C25" s="6" t="s">
        <v>36</v>
      </c>
      <c r="D25" s="6"/>
      <c r="E25" s="6"/>
    </row>
    <row r="26" customFormat="false" ht="18" hidden="false" customHeight="true" outlineLevel="0" collapsed="false">
      <c r="B26" s="5" t="s">
        <v>37</v>
      </c>
      <c r="C26" s="6" t="s">
        <v>38</v>
      </c>
      <c r="D26" s="6"/>
      <c r="E26" s="6"/>
    </row>
    <row r="27" customFormat="false" ht="18" hidden="false" customHeight="true" outlineLevel="0" collapsed="false">
      <c r="B27" s="5" t="s">
        <v>39</v>
      </c>
      <c r="C27" s="6" t="s">
        <v>40</v>
      </c>
      <c r="D27" s="6"/>
      <c r="E27" s="6"/>
    </row>
    <row r="28" customFormat="false" ht="18" hidden="false" customHeight="true" outlineLevel="0" collapsed="false">
      <c r="B28" s="5" t="s">
        <v>41</v>
      </c>
      <c r="C28" s="6" t="s">
        <v>42</v>
      </c>
      <c r="D28" s="6"/>
      <c r="E28" s="6"/>
    </row>
    <row r="29" customFormat="false" ht="18" hidden="false" customHeight="true" outlineLevel="0" collapsed="false">
      <c r="B29" s="5" t="s">
        <v>43</v>
      </c>
      <c r="C29" s="6" t="s">
        <v>44</v>
      </c>
      <c r="D29" s="6"/>
      <c r="E29" s="6"/>
    </row>
    <row r="30" customFormat="false" ht="18" hidden="false" customHeight="true" outlineLevel="0" collapsed="false">
      <c r="B30" s="5" t="s">
        <v>45</v>
      </c>
      <c r="C30" s="6" t="s">
        <v>46</v>
      </c>
      <c r="D30" s="6"/>
      <c r="E30" s="6"/>
    </row>
    <row r="31" customFormat="false" ht="18" hidden="false" customHeight="true" outlineLevel="0" collapsed="false">
      <c r="B31" s="5" t="s">
        <v>47</v>
      </c>
      <c r="C31" s="6" t="s">
        <v>48</v>
      </c>
      <c r="D31" s="6"/>
      <c r="E31" s="6"/>
    </row>
  </sheetData>
  <mergeCells count="27">
    <mergeCell ref="B1:E1"/>
    <mergeCell ref="B2:E2"/>
    <mergeCell ref="B5:E5"/>
    <mergeCell ref="C6:E6"/>
    <mergeCell ref="C7:E7"/>
    <mergeCell ref="C8:E8"/>
    <mergeCell ref="C9:E9"/>
    <mergeCell ref="C10:E10"/>
    <mergeCell ref="B12:E12"/>
    <mergeCell ref="C13:E13"/>
    <mergeCell ref="C14:E14"/>
    <mergeCell ref="C15:E15"/>
    <mergeCell ref="C16:E16"/>
    <mergeCell ref="C17:E17"/>
    <mergeCell ref="C18:E18"/>
    <mergeCell ref="B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4" min="3" style="1" width="22"/>
    <col collapsed="false" customWidth="true" hidden="false" outlineLevel="0" max="5" min="5" style="1" width="15"/>
  </cols>
  <sheetData>
    <row r="1" customFormat="false" ht="27.75" hidden="false" customHeight="true" outlineLevel="0" collapsed="false">
      <c r="B1" s="7" t="s">
        <v>49</v>
      </c>
      <c r="C1" s="7"/>
      <c r="D1" s="7"/>
    </row>
    <row r="2" customFormat="false" ht="18" hidden="false" customHeight="true" outlineLevel="0" collapsed="false">
      <c r="B2" s="8" t="s">
        <v>50</v>
      </c>
      <c r="C2" s="8"/>
      <c r="D2" s="8"/>
    </row>
    <row r="4" customFormat="false" ht="18" hidden="false" customHeight="true" outlineLevel="0" collapsed="false">
      <c r="A4" s="9" t="s">
        <v>51</v>
      </c>
      <c r="B4" s="9"/>
      <c r="C4" s="9"/>
      <c r="D4" s="9"/>
    </row>
    <row r="5" customFormat="false" ht="18" hidden="false" customHeight="true" outlineLevel="0" collapsed="false">
      <c r="B5" s="10" t="s">
        <v>52</v>
      </c>
      <c r="C5" s="11"/>
      <c r="D5" s="12" t="s">
        <v>53</v>
      </c>
    </row>
    <row r="6" customFormat="false" ht="18" hidden="false" customHeight="true" outlineLevel="0" collapsed="false">
      <c r="B6" s="10" t="s">
        <v>54</v>
      </c>
      <c r="C6" s="13"/>
      <c r="D6" s="12" t="s">
        <v>55</v>
      </c>
    </row>
    <row r="7" customFormat="false" ht="18" hidden="false" customHeight="true" outlineLevel="0" collapsed="false">
      <c r="B7" s="10" t="s">
        <v>56</v>
      </c>
      <c r="C7" s="14"/>
      <c r="D7" s="12" t="s">
        <v>57</v>
      </c>
    </row>
    <row r="8" customFormat="false" ht="18" hidden="false" customHeight="true" outlineLevel="0" collapsed="false">
      <c r="B8" s="10" t="s">
        <v>58</v>
      </c>
      <c r="C8" s="15"/>
      <c r="D8" s="12" t="s">
        <v>59</v>
      </c>
    </row>
    <row r="9" customFormat="false" ht="18" hidden="false" customHeight="true" outlineLevel="0" collapsed="false"/>
    <row r="10" customFormat="false" ht="18" hidden="false" customHeight="true" outlineLevel="0" collapsed="false">
      <c r="A10" s="9" t="s">
        <v>60</v>
      </c>
      <c r="B10" s="9"/>
      <c r="C10" s="9"/>
      <c r="D10" s="9"/>
    </row>
    <row r="11" customFormat="false" ht="18" hidden="false" customHeight="true" outlineLevel="0" collapsed="false">
      <c r="B11" s="10" t="s">
        <v>61</v>
      </c>
      <c r="C11" s="16" t="n">
        <f aca="false">'2 - Eligible CAPEX'!C22</f>
        <v>0</v>
      </c>
      <c r="D11" s="12"/>
    </row>
    <row r="12" customFormat="false" ht="18" hidden="false" customHeight="true" outlineLevel="0" collapsed="false">
      <c r="B12" s="10" t="s">
        <v>62</v>
      </c>
      <c r="C12" s="16" t="n">
        <f aca="false">'3 - Ineligible CAPEX'!C12</f>
        <v>0</v>
      </c>
      <c r="D12" s="12"/>
    </row>
    <row r="13" customFormat="false" ht="18" hidden="false" customHeight="true" outlineLevel="0" collapsed="false">
      <c r="B13" s="10" t="s">
        <v>63</v>
      </c>
      <c r="C13" s="16" t="n">
        <f aca="false">C9+C10</f>
        <v>0</v>
      </c>
      <c r="D13" s="12"/>
    </row>
    <row r="14" customFormat="false" ht="18" hidden="false" customHeight="true" outlineLevel="0" collapsed="false">
      <c r="B14" s="10" t="s">
        <v>64</v>
      </c>
      <c r="C14" s="17" t="n">
        <f aca="false">'4 - Grant Request'!C5</f>
        <v>0</v>
      </c>
      <c r="D14" s="12" t="s">
        <v>65</v>
      </c>
    </row>
    <row r="15" customFormat="false" ht="18" hidden="false" customHeight="true" outlineLevel="0" collapsed="false">
      <c r="B15" s="10" t="s">
        <v>66</v>
      </c>
      <c r="C15" s="16" t="n">
        <f aca="false">'4 - Grant Request'!C6</f>
        <v>0</v>
      </c>
      <c r="D15" s="12"/>
    </row>
    <row r="16" customFormat="false" ht="18" hidden="false" customHeight="true" outlineLevel="0" collapsed="false">
      <c r="B16" s="10" t="s">
        <v>67</v>
      </c>
      <c r="C16" s="16" t="n">
        <f aca="false">'5 - Capital Stack'!C5</f>
        <v>0</v>
      </c>
      <c r="D16" s="12"/>
    </row>
    <row r="17" customFormat="false" ht="18" hidden="false" customHeight="true" outlineLevel="0" collapsed="false">
      <c r="B17" s="10" t="s">
        <v>68</v>
      </c>
      <c r="C17" s="16" t="n">
        <f aca="false">'5 - Capital Stack'!C6</f>
        <v>0</v>
      </c>
      <c r="D17" s="12"/>
    </row>
    <row r="18" customFormat="false" ht="18" hidden="false" customHeight="true" outlineLevel="0" collapsed="false">
      <c r="B18" s="10" t="s">
        <v>69</v>
      </c>
      <c r="C18" s="16" t="n">
        <f aca="false">'5 - Capital Stack'!C9</f>
        <v>0</v>
      </c>
      <c r="D18" s="12"/>
    </row>
    <row r="19" customFormat="false" ht="18" hidden="false" customHeight="true" outlineLevel="0" collapsed="false">
      <c r="B19" s="10" t="s">
        <v>70</v>
      </c>
      <c r="C19" s="16" t="n">
        <f aca="false">C11-C15</f>
        <v>0</v>
      </c>
      <c r="D19" s="12"/>
    </row>
    <row r="20" customFormat="false" ht="18" hidden="false" customHeight="true" outlineLevel="0" collapsed="false"/>
    <row r="21" customFormat="false" ht="18" hidden="false" customHeight="true" outlineLevel="0" collapsed="false">
      <c r="A21" s="9" t="s">
        <v>71</v>
      </c>
      <c r="B21" s="9"/>
      <c r="C21" s="9"/>
      <c r="D21" s="9"/>
    </row>
    <row r="22" customFormat="false" ht="18" hidden="false" customHeight="true" outlineLevel="0" collapsed="false">
      <c r="B22" s="10" t="s">
        <v>72</v>
      </c>
      <c r="C22" s="18" t="n">
        <f aca="false">'6 - Tariffs Settlement'!C5</f>
        <v>0</v>
      </c>
      <c r="D22" s="12"/>
    </row>
    <row r="23" customFormat="false" ht="18" hidden="false" customHeight="true" outlineLevel="0" collapsed="false">
      <c r="B23" s="10" t="s">
        <v>73</v>
      </c>
      <c r="C23" s="18" t="n">
        <f aca="false">'6 - Tariffs Settlement'!C6</f>
        <v>0</v>
      </c>
      <c r="D23" s="12"/>
    </row>
    <row r="24" customFormat="false" ht="18" hidden="false" customHeight="true" outlineLevel="0" collapsed="false">
      <c r="B24" s="10" t="s">
        <v>74</v>
      </c>
      <c r="C24" s="18" t="n">
        <f aca="false">'6 - Tariffs Settlement'!C7</f>
        <v>0</v>
      </c>
      <c r="D24" s="12"/>
    </row>
    <row r="25" customFormat="false" ht="18" hidden="false" customHeight="true" outlineLevel="0" collapsed="false">
      <c r="B25" s="10" t="s">
        <v>75</v>
      </c>
      <c r="C25" s="18" t="n">
        <f aca="false">'6 - Tariffs Settlement'!C8</f>
        <v>0</v>
      </c>
      <c r="D25" s="12"/>
    </row>
    <row r="26" customFormat="false" ht="18" hidden="false" customHeight="true" outlineLevel="0" collapsed="false">
      <c r="B26" s="10" t="s">
        <v>76</v>
      </c>
      <c r="C26" s="18" t="n">
        <f aca="false">'6 - Tariffs Settlement'!C9</f>
        <v>0</v>
      </c>
      <c r="D26" s="12"/>
    </row>
    <row r="27" customFormat="false" ht="18" hidden="false" customHeight="true" outlineLevel="0" collapsed="false"/>
    <row r="28" customFormat="false" ht="18" hidden="false" customHeight="true" outlineLevel="0" collapsed="false">
      <c r="A28" s="9" t="s">
        <v>77</v>
      </c>
      <c r="B28" s="9"/>
      <c r="C28" s="9"/>
      <c r="D28" s="9"/>
    </row>
    <row r="29" customFormat="false" ht="18" hidden="false" customHeight="true" outlineLevel="0" collapsed="false">
      <c r="B29" s="10" t="s">
        <v>78</v>
      </c>
      <c r="C29" s="15"/>
      <c r="D29" s="12" t="s">
        <v>59</v>
      </c>
    </row>
    <row r="30" customFormat="false" ht="18" hidden="false" customHeight="true" outlineLevel="0" collapsed="false">
      <c r="B30" s="10" t="s">
        <v>79</v>
      </c>
      <c r="C30" s="15"/>
      <c r="D30" s="12" t="s">
        <v>59</v>
      </c>
    </row>
    <row r="31" customFormat="false" ht="18" hidden="false" customHeight="true" outlineLevel="0" collapsed="false">
      <c r="B31" s="10" t="s">
        <v>80</v>
      </c>
      <c r="C31" s="15"/>
      <c r="D31" s="12" t="s">
        <v>59</v>
      </c>
    </row>
    <row r="32" customFormat="false" ht="18" hidden="false" customHeight="true" outlineLevel="0" collapsed="false">
      <c r="B32" s="10" t="s">
        <v>81</v>
      </c>
      <c r="C32" s="15"/>
      <c r="D32" s="12" t="s">
        <v>59</v>
      </c>
    </row>
    <row r="33" customFormat="false" ht="18" hidden="false" customHeight="true" outlineLevel="0" collapsed="false"/>
    <row r="34" customFormat="false" ht="18" hidden="false" customHeight="true" outlineLevel="0" collapsed="false">
      <c r="A34" s="9" t="s">
        <v>82</v>
      </c>
      <c r="B34" s="9"/>
      <c r="C34" s="9"/>
      <c r="D34" s="9"/>
    </row>
    <row r="35" customFormat="false" ht="18" hidden="false" customHeight="true" outlineLevel="0" collapsed="false">
      <c r="B35" s="10" t="s">
        <v>83</v>
      </c>
      <c r="C35" s="17" t="n">
        <f aca="false">IF(C11&gt;0,C12/C11,0)</f>
        <v>0</v>
      </c>
      <c r="D35" s="12" t="s">
        <v>65</v>
      </c>
    </row>
    <row r="36" customFormat="false" ht="18" hidden="false" customHeight="true" outlineLevel="0" collapsed="false">
      <c r="B36" s="10" t="s">
        <v>84</v>
      </c>
      <c r="C36" s="19"/>
      <c r="D36" s="12"/>
    </row>
    <row r="37" customFormat="false" ht="18" hidden="false" customHeight="true" outlineLevel="0" collapsed="false">
      <c r="B37" s="10" t="s">
        <v>85</v>
      </c>
      <c r="C37" s="20" t="n">
        <f aca="false">'4 - Grant Request'!C8</f>
        <v>0</v>
      </c>
      <c r="D37" s="12" t="s">
        <v>86</v>
      </c>
    </row>
  </sheetData>
  <mergeCells count="7">
    <mergeCell ref="B1:D1"/>
    <mergeCell ref="B2:D2"/>
    <mergeCell ref="A4:D4"/>
    <mergeCell ref="A10:D10"/>
    <mergeCell ref="A21:D21"/>
    <mergeCell ref="A28:D28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5" min="3" style="1" width="18"/>
    <col collapsed="false" customWidth="true" hidden="false" outlineLevel="0" max="6" min="6" style="1" width="28"/>
  </cols>
  <sheetData>
    <row r="1" customFormat="false" ht="15" hidden="false" customHeight="true" outlineLevel="0" collapsed="false">
      <c r="B1" s="21" t="s">
        <v>87</v>
      </c>
      <c r="C1" s="21"/>
      <c r="D1" s="21"/>
      <c r="E1" s="21"/>
    </row>
    <row r="2" customFormat="false" ht="15" hidden="false" customHeight="true" outlineLevel="0" collapsed="false">
      <c r="B2" s="22" t="s">
        <v>88</v>
      </c>
      <c r="C2" s="22"/>
      <c r="D2" s="22"/>
      <c r="E2" s="22"/>
    </row>
    <row r="3" customFormat="false" ht="21.75" hidden="false" customHeight="true" outlineLevel="0" collapsed="false">
      <c r="B3" s="23" t="s">
        <v>89</v>
      </c>
      <c r="C3" s="23" t="s">
        <v>90</v>
      </c>
      <c r="D3" s="23" t="s">
        <v>91</v>
      </c>
      <c r="E3" s="23" t="s">
        <v>92</v>
      </c>
      <c r="F3" s="23" t="s">
        <v>93</v>
      </c>
    </row>
    <row r="4" customFormat="false" ht="31.5" hidden="false" customHeight="true" outlineLevel="0" collapsed="false">
      <c r="B4" s="10" t="s">
        <v>94</v>
      </c>
      <c r="C4" s="24" t="s">
        <v>95</v>
      </c>
      <c r="D4" s="19" t="n">
        <v>0</v>
      </c>
      <c r="E4" s="12" t="s">
        <v>96</v>
      </c>
      <c r="F4" s="12" t="s">
        <v>97</v>
      </c>
    </row>
    <row r="5" customFormat="false" ht="31.5" hidden="false" customHeight="true" outlineLevel="0" collapsed="false">
      <c r="B5" s="10" t="s">
        <v>98</v>
      </c>
      <c r="C5" s="24" t="s">
        <v>95</v>
      </c>
      <c r="D5" s="19" t="n">
        <v>0</v>
      </c>
      <c r="E5" s="12" t="s">
        <v>96</v>
      </c>
      <c r="F5" s="12" t="s">
        <v>99</v>
      </c>
    </row>
    <row r="6" customFormat="false" ht="31.5" hidden="false" customHeight="true" outlineLevel="0" collapsed="false">
      <c r="B6" s="10" t="s">
        <v>100</v>
      </c>
      <c r="C6" s="24" t="s">
        <v>95</v>
      </c>
      <c r="D6" s="19" t="n">
        <v>0</v>
      </c>
      <c r="E6" s="12" t="s">
        <v>96</v>
      </c>
      <c r="F6" s="12" t="s">
        <v>101</v>
      </c>
    </row>
    <row r="7" customFormat="false" ht="31.5" hidden="false" customHeight="true" outlineLevel="0" collapsed="false">
      <c r="B7" s="10" t="s">
        <v>102</v>
      </c>
      <c r="C7" s="25" t="s">
        <v>103</v>
      </c>
      <c r="D7" s="19" t="n">
        <v>0</v>
      </c>
      <c r="E7" s="12" t="s">
        <v>96</v>
      </c>
      <c r="F7" s="12" t="s">
        <v>104</v>
      </c>
    </row>
    <row r="8" customFormat="false" ht="31.5" hidden="false" customHeight="true" outlineLevel="0" collapsed="false">
      <c r="B8" s="10" t="s">
        <v>105</v>
      </c>
      <c r="C8" s="25" t="s">
        <v>106</v>
      </c>
      <c r="D8" s="19" t="n">
        <v>0</v>
      </c>
      <c r="E8" s="12" t="s">
        <v>96</v>
      </c>
      <c r="F8" s="12" t="s">
        <v>107</v>
      </c>
    </row>
    <row r="9" customFormat="false" ht="31.5" hidden="false" customHeight="true" outlineLevel="0" collapsed="false">
      <c r="B9" s="10" t="s">
        <v>108</v>
      </c>
      <c r="C9" s="25" t="s">
        <v>106</v>
      </c>
      <c r="D9" s="19" t="n">
        <v>0</v>
      </c>
      <c r="E9" s="12" t="s">
        <v>96</v>
      </c>
      <c r="F9" s="12" t="s">
        <v>109</v>
      </c>
    </row>
    <row r="10" customFormat="false" ht="31.5" hidden="false" customHeight="true" outlineLevel="0" collapsed="false">
      <c r="B10" s="10" t="s">
        <v>110</v>
      </c>
      <c r="C10" s="25" t="s">
        <v>111</v>
      </c>
      <c r="D10" s="19" t="n">
        <v>0</v>
      </c>
      <c r="E10" s="12" t="s">
        <v>96</v>
      </c>
      <c r="F10" s="12" t="s">
        <v>112</v>
      </c>
    </row>
    <row r="11" customFormat="false" ht="31.5" hidden="false" customHeight="true" outlineLevel="0" collapsed="false">
      <c r="B11" s="10" t="s">
        <v>113</v>
      </c>
      <c r="C11" s="25" t="s">
        <v>114</v>
      </c>
      <c r="D11" s="19" t="n">
        <v>0</v>
      </c>
      <c r="E11" s="12" t="s">
        <v>96</v>
      </c>
      <c r="F11" s="12" t="s">
        <v>115</v>
      </c>
    </row>
    <row r="12" customFormat="false" ht="31.5" hidden="false" customHeight="true" outlineLevel="0" collapsed="false">
      <c r="B12" s="10" t="s">
        <v>116</v>
      </c>
      <c r="C12" s="25" t="s">
        <v>117</v>
      </c>
      <c r="D12" s="19" t="n">
        <v>0</v>
      </c>
      <c r="E12" s="12" t="s">
        <v>96</v>
      </c>
      <c r="F12" s="12" t="s">
        <v>118</v>
      </c>
    </row>
    <row r="13" customFormat="false" ht="31.5" hidden="false" customHeight="true" outlineLevel="0" collapsed="false">
      <c r="B13" s="10" t="s">
        <v>119</v>
      </c>
      <c r="C13" s="24" t="s">
        <v>95</v>
      </c>
      <c r="D13" s="19" t="n">
        <v>0</v>
      </c>
      <c r="E13" s="12" t="s">
        <v>96</v>
      </c>
      <c r="F13" s="12" t="s">
        <v>120</v>
      </c>
    </row>
    <row r="14" customFormat="false" ht="31.5" hidden="false" customHeight="true" outlineLevel="0" collapsed="false">
      <c r="B14" s="10" t="s">
        <v>121</v>
      </c>
      <c r="C14" s="25" t="s">
        <v>122</v>
      </c>
      <c r="D14" s="19" t="n">
        <v>0</v>
      </c>
      <c r="E14" s="12" t="s">
        <v>96</v>
      </c>
      <c r="F14" s="12" t="s">
        <v>123</v>
      </c>
    </row>
    <row r="15" customFormat="false" ht="31.5" hidden="false" customHeight="true" outlineLevel="0" collapsed="false">
      <c r="B15" s="10" t="s">
        <v>124</v>
      </c>
      <c r="C15" s="25" t="s">
        <v>103</v>
      </c>
      <c r="D15" s="19" t="n">
        <v>0</v>
      </c>
      <c r="E15" s="12" t="s">
        <v>96</v>
      </c>
      <c r="F15" s="12" t="s">
        <v>125</v>
      </c>
    </row>
    <row r="16" customFormat="false" ht="19.5" hidden="false" customHeight="true" outlineLevel="0" collapsed="false">
      <c r="B16" s="9" t="s">
        <v>126</v>
      </c>
      <c r="C16" s="9"/>
      <c r="D16" s="26" t="n">
        <f aca="false">SUM(D4:D15)</f>
        <v>0</v>
      </c>
      <c r="E16" s="27" t="s">
        <v>127</v>
      </c>
      <c r="F16" s="27"/>
    </row>
  </sheetData>
  <mergeCells count="4">
    <mergeCell ref="B1:E1"/>
    <mergeCell ref="B2:E2"/>
    <mergeCell ref="B16:C16"/>
    <mergeCell ref="E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4" min="3" style="1" width="18"/>
    <col collapsed="false" customWidth="true" hidden="false" outlineLevel="0" max="5" min="5" style="1" width="28"/>
  </cols>
  <sheetData>
    <row r="1" customFormat="false" ht="15" hidden="false" customHeight="true" outlineLevel="0" collapsed="false">
      <c r="B1" s="21" t="s">
        <v>128</v>
      </c>
      <c r="C1" s="21"/>
      <c r="D1" s="21"/>
    </row>
    <row r="2" customFormat="false" ht="21.75" hidden="false" customHeight="true" outlineLevel="0" collapsed="false">
      <c r="B2" s="22" t="s">
        <v>129</v>
      </c>
      <c r="C2" s="22"/>
      <c r="D2" s="22"/>
    </row>
    <row r="3" customFormat="false" ht="15" hidden="false" customHeight="true" outlineLevel="0" collapsed="false">
      <c r="B3" s="23" t="s">
        <v>130</v>
      </c>
      <c r="C3" s="23" t="s">
        <v>131</v>
      </c>
      <c r="D3" s="23" t="s">
        <v>132</v>
      </c>
    </row>
    <row r="4" customFormat="false" ht="19.5" hidden="false" customHeight="true" outlineLevel="0" collapsed="false">
      <c r="B4" s="28" t="s">
        <v>133</v>
      </c>
      <c r="C4" s="19" t="n">
        <v>0</v>
      </c>
      <c r="D4" s="12" t="s">
        <v>134</v>
      </c>
    </row>
    <row r="5" customFormat="false" ht="19.5" hidden="false" customHeight="true" outlineLevel="0" collapsed="false">
      <c r="B5" s="28" t="s">
        <v>135</v>
      </c>
      <c r="C5" s="19" t="n">
        <v>0</v>
      </c>
      <c r="D5" s="12" t="s">
        <v>134</v>
      </c>
    </row>
    <row r="6" customFormat="false" ht="19.5" hidden="false" customHeight="true" outlineLevel="0" collapsed="false">
      <c r="B6" s="28" t="s">
        <v>136</v>
      </c>
      <c r="C6" s="19" t="n">
        <v>0</v>
      </c>
      <c r="D6" s="12" t="s">
        <v>134</v>
      </c>
    </row>
    <row r="7" customFormat="false" ht="19.5" hidden="false" customHeight="true" outlineLevel="0" collapsed="false">
      <c r="B7" s="28" t="s">
        <v>137</v>
      </c>
      <c r="C7" s="19" t="n">
        <v>0</v>
      </c>
      <c r="D7" s="12" t="s">
        <v>134</v>
      </c>
    </row>
    <row r="8" customFormat="false" ht="19.5" hidden="false" customHeight="true" outlineLevel="0" collapsed="false">
      <c r="B8" s="28" t="s">
        <v>138</v>
      </c>
      <c r="C8" s="19" t="n">
        <v>0</v>
      </c>
      <c r="D8" s="12" t="s">
        <v>134</v>
      </c>
    </row>
    <row r="9" customFormat="false" ht="19.5" hidden="false" customHeight="true" outlineLevel="0" collapsed="false">
      <c r="B9" s="28" t="s">
        <v>139</v>
      </c>
      <c r="C9" s="19" t="n">
        <v>0</v>
      </c>
      <c r="D9" s="12" t="s">
        <v>134</v>
      </c>
    </row>
    <row r="10" customFormat="false" ht="19.5" hidden="false" customHeight="true" outlineLevel="0" collapsed="false">
      <c r="B10" s="28" t="s">
        <v>140</v>
      </c>
      <c r="C10" s="19" t="n">
        <v>0</v>
      </c>
      <c r="D10" s="12" t="s">
        <v>134</v>
      </c>
    </row>
    <row r="11" customFormat="false" ht="19.5" hidden="false" customHeight="true" outlineLevel="0" collapsed="false">
      <c r="B11" s="28" t="s">
        <v>141</v>
      </c>
      <c r="C11" s="19" t="n">
        <v>0</v>
      </c>
      <c r="D11" s="12" t="s">
        <v>134</v>
      </c>
    </row>
    <row r="12" customFormat="false" ht="19.5" hidden="false" customHeight="true" outlineLevel="0" collapsed="false">
      <c r="B12" s="28" t="s">
        <v>142</v>
      </c>
      <c r="C12" s="19" t="n">
        <v>0</v>
      </c>
      <c r="D12" s="12" t="s">
        <v>134</v>
      </c>
    </row>
    <row r="13" customFormat="false" ht="19.5" hidden="false" customHeight="true" outlineLevel="0" collapsed="false">
      <c r="B13" s="28" t="s">
        <v>143</v>
      </c>
      <c r="C13" s="19" t="n">
        <v>0</v>
      </c>
      <c r="D13" s="12" t="s">
        <v>134</v>
      </c>
    </row>
    <row r="14" customFormat="false" ht="19.5" hidden="false" customHeight="true" outlineLevel="0" collapsed="false">
      <c r="B14" s="29" t="s">
        <v>144</v>
      </c>
      <c r="C14" s="26" t="n">
        <f aca="false">SUM(C4:C13)</f>
        <v>0</v>
      </c>
    </row>
  </sheetData>
  <mergeCells count="2">
    <mergeCell ref="B1:D1"/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5"/>
    <col collapsed="false" customWidth="true" hidden="false" outlineLevel="0" max="5" min="3" style="1" width="20"/>
  </cols>
  <sheetData>
    <row r="1" customFormat="false" ht="15" hidden="false" customHeight="true" outlineLevel="0" collapsed="false">
      <c r="B1" s="21" t="s">
        <v>33</v>
      </c>
      <c r="C1" s="21"/>
      <c r="D1" s="21"/>
    </row>
    <row r="2" customFormat="false" ht="15" hidden="false" customHeight="true" outlineLevel="0" collapsed="false">
      <c r="B2" s="22" t="s">
        <v>145</v>
      </c>
      <c r="C2" s="22"/>
      <c r="D2" s="22"/>
    </row>
    <row r="4" customFormat="false" ht="19.5" hidden="false" customHeight="true" outlineLevel="0" collapsed="false">
      <c r="B4" s="10" t="s">
        <v>146</v>
      </c>
      <c r="C4" s="16" t="n">
        <f aca="false">'2 - Eligible CAPEX'!C22</f>
        <v>0</v>
      </c>
      <c r="D4" s="12" t="s">
        <v>147</v>
      </c>
    </row>
    <row r="5" customFormat="false" ht="19.5" hidden="false" customHeight="true" outlineLevel="0" collapsed="false">
      <c r="B5" s="10" t="s">
        <v>148</v>
      </c>
      <c r="C5" s="30"/>
      <c r="D5" s="12" t="s">
        <v>149</v>
      </c>
    </row>
    <row r="6" customFormat="false" ht="19.5" hidden="false" customHeight="true" outlineLevel="0" collapsed="false"/>
    <row r="7" customFormat="false" ht="18" hidden="false" customHeight="true" outlineLevel="0" collapsed="false">
      <c r="A7" s="9" t="s">
        <v>150</v>
      </c>
      <c r="B7" s="9"/>
      <c r="C7" s="9"/>
      <c r="D7" s="9"/>
    </row>
    <row r="8" customFormat="false" ht="19.5" hidden="false" customHeight="true" outlineLevel="0" collapsed="false">
      <c r="B8" s="10" t="s">
        <v>64</v>
      </c>
      <c r="C8" s="30"/>
      <c r="D8" s="12" t="s">
        <v>151</v>
      </c>
    </row>
    <row r="9" customFormat="false" ht="19.5" hidden="false" customHeight="true" outlineLevel="0" collapsed="false">
      <c r="B9" s="10" t="s">
        <v>66</v>
      </c>
      <c r="C9" s="16" t="n">
        <f aca="false">C4*C6</f>
        <v>0</v>
      </c>
      <c r="D9" s="12" t="s">
        <v>152</v>
      </c>
    </row>
    <row r="10" customFormat="false" ht="19.5" hidden="false" customHeight="true" outlineLevel="0" collapsed="false"/>
    <row r="11" customFormat="false" ht="18" hidden="false" customHeight="true" outlineLevel="0" collapsed="false">
      <c r="A11" s="9" t="s">
        <v>153</v>
      </c>
      <c r="B11" s="9"/>
      <c r="C11" s="9"/>
      <c r="D11" s="9"/>
    </row>
    <row r="12" customFormat="false" ht="19.5" hidden="false" customHeight="true" outlineLevel="0" collapsed="false">
      <c r="B12" s="10" t="s">
        <v>154</v>
      </c>
      <c r="C12" s="30"/>
      <c r="D12" s="12" t="s">
        <v>155</v>
      </c>
    </row>
    <row r="13" customFormat="false" ht="19.5" hidden="false" customHeight="true" outlineLevel="0" collapsed="false">
      <c r="B13" s="10" t="s">
        <v>156</v>
      </c>
      <c r="C13" s="16" t="n">
        <f aca="false">C4*C9</f>
        <v>0</v>
      </c>
      <c r="D13" s="12" t="s">
        <v>157</v>
      </c>
    </row>
    <row r="14" customFormat="false" ht="19.5" hidden="false" customHeight="true" outlineLevel="0" collapsed="false">
      <c r="B14" s="10" t="s">
        <v>158</v>
      </c>
      <c r="C14" s="20" t="str">
        <f aca="false">IF(C6&lt;=C9,"YES — within ceiling","NO — EXCEEDS CEILING — REVISE")</f>
        <v>YES — within ceiling</v>
      </c>
      <c r="D14" s="12" t="s">
        <v>159</v>
      </c>
    </row>
    <row r="15" customFormat="false" ht="19.5" hidden="false" customHeight="true" outlineLevel="0" collapsed="false"/>
    <row r="16" customFormat="false" ht="18" hidden="false" customHeight="true" outlineLevel="0" collapsed="false">
      <c r="A16" s="9" t="s">
        <v>160</v>
      </c>
      <c r="B16" s="9"/>
      <c r="C16" s="9"/>
      <c r="D16" s="9"/>
    </row>
    <row r="17" customFormat="false" ht="19.5" hidden="false" customHeight="true" outlineLevel="0" collapsed="false">
      <c r="B17" s="10" t="s">
        <v>161</v>
      </c>
      <c r="C17" s="16" t="n">
        <f aca="false">'2 - Eligible CAPEX'!C22+'3 - Ineligible CAPEX'!C12</f>
        <v>0</v>
      </c>
      <c r="D17" s="12" t="s">
        <v>162</v>
      </c>
    </row>
    <row r="18" customFormat="false" ht="19.5" hidden="false" customHeight="true" outlineLevel="0" collapsed="false">
      <c r="B18" s="10" t="s">
        <v>83</v>
      </c>
      <c r="C18" s="17" t="n">
        <f aca="false">IF(C17&gt;0,C6/C17,0)</f>
        <v>0</v>
      </c>
      <c r="D18" s="12" t="s">
        <v>163</v>
      </c>
    </row>
    <row r="19" customFormat="false" ht="19.5" hidden="false" customHeight="true" outlineLevel="0" collapsed="false">
      <c r="B19" s="10" t="s">
        <v>164</v>
      </c>
      <c r="C19" s="17" t="n">
        <f aca="false">IF(C17&gt;0,C4/C17,0)</f>
        <v>0</v>
      </c>
      <c r="D19" s="12" t="s">
        <v>165</v>
      </c>
    </row>
  </sheetData>
  <mergeCells count="5">
    <mergeCell ref="B1:D1"/>
    <mergeCell ref="B2:D2"/>
    <mergeCell ref="A7:D7"/>
    <mergeCell ref="A11:D11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18"/>
    <col collapsed="false" customWidth="true" hidden="false" outlineLevel="0" max="4" min="4" style="1" width="35"/>
    <col collapsed="false" customWidth="true" hidden="false" outlineLevel="0" max="5" min="5" style="1" width="12"/>
  </cols>
  <sheetData>
    <row r="1" customFormat="false" ht="15" hidden="false" customHeight="true" outlineLevel="0" collapsed="false">
      <c r="B1" s="21" t="s">
        <v>35</v>
      </c>
      <c r="C1" s="21"/>
      <c r="D1" s="21"/>
    </row>
    <row r="2" customFormat="false" ht="15" hidden="false" customHeight="true" outlineLevel="0" collapsed="false">
      <c r="B2" s="22" t="s">
        <v>166</v>
      </c>
      <c r="C2" s="22"/>
      <c r="D2" s="22"/>
    </row>
    <row r="3" customFormat="false" ht="15" hidden="false" customHeight="true" outlineLevel="0" collapsed="false">
      <c r="B3" s="23" t="s">
        <v>167</v>
      </c>
      <c r="C3" s="23" t="s">
        <v>131</v>
      </c>
      <c r="D3" s="23" t="s">
        <v>168</v>
      </c>
      <c r="E3" s="23"/>
    </row>
    <row r="4" customFormat="false" ht="19.5" hidden="false" customHeight="true" outlineLevel="0" collapsed="false">
      <c r="B4" s="10" t="s">
        <v>169</v>
      </c>
      <c r="C4" s="31" t="n">
        <f aca="false">'4 - Grant Request'!C6</f>
        <v>0</v>
      </c>
      <c r="D4" s="12" t="s">
        <v>170</v>
      </c>
    </row>
    <row r="5" customFormat="false" ht="19.5" hidden="false" customHeight="true" outlineLevel="0" collapsed="false">
      <c r="B5" s="10" t="s">
        <v>171</v>
      </c>
      <c r="C5" s="19"/>
      <c r="D5" s="12" t="s">
        <v>172</v>
      </c>
    </row>
    <row r="6" customFormat="false" ht="19.5" hidden="false" customHeight="true" outlineLevel="0" collapsed="false">
      <c r="B6" s="10" t="s">
        <v>173</v>
      </c>
      <c r="C6" s="19"/>
      <c r="D6" s="12" t="s">
        <v>174</v>
      </c>
    </row>
    <row r="7" customFormat="false" ht="19.5" hidden="false" customHeight="true" outlineLevel="0" collapsed="false">
      <c r="B7" s="10" t="s">
        <v>175</v>
      </c>
      <c r="C7" s="19"/>
      <c r="D7" s="12" t="s">
        <v>176</v>
      </c>
    </row>
    <row r="8" customFormat="false" ht="19.5" hidden="false" customHeight="true" outlineLevel="0" collapsed="false">
      <c r="B8" s="10" t="s">
        <v>177</v>
      </c>
      <c r="C8" s="19"/>
      <c r="D8" s="12" t="s">
        <v>178</v>
      </c>
    </row>
    <row r="9" customFormat="false" ht="19.5" hidden="false" customHeight="true" outlineLevel="0" collapsed="false">
      <c r="B9" s="10" t="s">
        <v>179</v>
      </c>
      <c r="C9" s="19"/>
      <c r="D9" s="12" t="s">
        <v>180</v>
      </c>
    </row>
    <row r="10" customFormat="false" ht="19.5" hidden="false" customHeight="true" outlineLevel="0" collapsed="false"/>
    <row r="11" customFormat="false" ht="19.5" hidden="false" customHeight="true" outlineLevel="0" collapsed="false">
      <c r="B11" s="10" t="s">
        <v>181</v>
      </c>
      <c r="C11" s="16" t="n">
        <f aca="false">SUM(C4:C9)</f>
        <v>0</v>
      </c>
      <c r="D11" s="12" t="s">
        <v>182</v>
      </c>
    </row>
    <row r="12" customFormat="false" ht="19.5" hidden="false" customHeight="true" outlineLevel="0" collapsed="false">
      <c r="B12" s="10" t="s">
        <v>183</v>
      </c>
      <c r="C12" s="16" t="n">
        <f aca="false">'2 - Eligible CAPEX'!C22+'3 - Ineligible CAPEX'!C12</f>
        <v>0</v>
      </c>
      <c r="D12" s="12" t="s">
        <v>184</v>
      </c>
    </row>
    <row r="13" customFormat="false" ht="19.5" hidden="false" customHeight="true" outlineLevel="0" collapsed="false">
      <c r="B13" s="10" t="s">
        <v>70</v>
      </c>
      <c r="C13" s="16" t="n">
        <f aca="false">C10-C11</f>
        <v>0</v>
      </c>
      <c r="D13" s="12" t="s">
        <v>185</v>
      </c>
    </row>
  </sheetData>
  <mergeCells count="2">
    <mergeCell ref="B1:D1"/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5"/>
    <col collapsed="false" customWidth="true" hidden="false" outlineLevel="0" max="3" min="3" style="1" width="18"/>
    <col collapsed="false" customWidth="true" hidden="false" outlineLevel="0" max="4" min="4" style="1" width="32"/>
    <col collapsed="false" customWidth="true" hidden="false" outlineLevel="0" max="5" min="5" style="1" width="12"/>
  </cols>
  <sheetData>
    <row r="1" customFormat="false" ht="15" hidden="false" customHeight="true" outlineLevel="0" collapsed="false">
      <c r="B1" s="21" t="s">
        <v>186</v>
      </c>
      <c r="C1" s="21"/>
      <c r="D1" s="21"/>
    </row>
    <row r="2" customFormat="false" ht="15" hidden="false" customHeight="true" outlineLevel="0" collapsed="false">
      <c r="B2" s="22" t="s">
        <v>187</v>
      </c>
      <c r="C2" s="22"/>
      <c r="D2" s="22"/>
    </row>
    <row r="3" customFormat="false" ht="15" hidden="false" customHeight="true" outlineLevel="0" collapsed="false">
      <c r="B3" s="23" t="s">
        <v>188</v>
      </c>
      <c r="C3" s="23" t="s">
        <v>189</v>
      </c>
      <c r="D3" s="23" t="s">
        <v>132</v>
      </c>
    </row>
    <row r="4" customFormat="false" ht="18" hidden="false" customHeight="true" outlineLevel="0" collapsed="false">
      <c r="A4" s="9" t="s">
        <v>190</v>
      </c>
      <c r="B4" s="9"/>
      <c r="C4" s="9"/>
      <c r="D4" s="9"/>
    </row>
    <row r="5" customFormat="false" ht="19.5" hidden="false" customHeight="true" outlineLevel="0" collapsed="false">
      <c r="B5" s="10" t="s">
        <v>72</v>
      </c>
      <c r="C5" s="32"/>
      <c r="D5" s="12" t="s">
        <v>191</v>
      </c>
    </row>
    <row r="6" customFormat="false" ht="19.5" hidden="false" customHeight="true" outlineLevel="0" collapsed="false">
      <c r="B6" s="10" t="s">
        <v>73</v>
      </c>
      <c r="C6" s="32"/>
      <c r="D6" s="12" t="s">
        <v>191</v>
      </c>
    </row>
    <row r="7" customFormat="false" ht="19.5" hidden="false" customHeight="true" outlineLevel="0" collapsed="false">
      <c r="B7" s="10" t="s">
        <v>74</v>
      </c>
      <c r="C7" s="32"/>
      <c r="D7" s="12" t="s">
        <v>191</v>
      </c>
    </row>
    <row r="8" customFormat="false" ht="19.5" hidden="false" customHeight="true" outlineLevel="0" collapsed="false">
      <c r="B8" s="10" t="s">
        <v>192</v>
      </c>
      <c r="C8" s="32"/>
      <c r="D8" s="12" t="s">
        <v>191</v>
      </c>
    </row>
    <row r="9" customFormat="false" ht="19.5" hidden="false" customHeight="true" outlineLevel="0" collapsed="false">
      <c r="B9" s="10" t="s">
        <v>193</v>
      </c>
      <c r="C9" s="30"/>
      <c r="D9" s="12" t="s">
        <v>191</v>
      </c>
    </row>
    <row r="10" customFormat="false" ht="19.5" hidden="false" customHeight="true" outlineLevel="0" collapsed="false">
      <c r="B10" s="10" t="s">
        <v>194</v>
      </c>
      <c r="C10" s="33"/>
      <c r="D10" s="12" t="s">
        <v>191</v>
      </c>
    </row>
    <row r="11" customFormat="false" ht="19.5" hidden="false" customHeight="true" outlineLevel="0" collapsed="false"/>
    <row r="12" customFormat="false" ht="18" hidden="false" customHeight="true" outlineLevel="0" collapsed="false">
      <c r="A12" s="9" t="s">
        <v>195</v>
      </c>
      <c r="B12" s="9"/>
      <c r="C12" s="9"/>
      <c r="D12" s="9"/>
    </row>
    <row r="13" customFormat="false" ht="19.5" hidden="false" customHeight="true" outlineLevel="0" collapsed="false">
      <c r="B13" s="10" t="s">
        <v>75</v>
      </c>
      <c r="C13" s="32"/>
      <c r="D13" s="12" t="s">
        <v>191</v>
      </c>
    </row>
    <row r="14" customFormat="false" ht="19.5" hidden="false" customHeight="true" outlineLevel="0" collapsed="false">
      <c r="B14" s="10" t="s">
        <v>196</v>
      </c>
      <c r="C14" s="32"/>
      <c r="D14" s="12" t="s">
        <v>191</v>
      </c>
    </row>
    <row r="15" customFormat="false" ht="19.5" hidden="false" customHeight="true" outlineLevel="0" collapsed="false">
      <c r="B15" s="10" t="s">
        <v>197</v>
      </c>
      <c r="C15" s="34"/>
      <c r="D15" s="12" t="s">
        <v>191</v>
      </c>
    </row>
    <row r="16" customFormat="false" ht="19.5" hidden="false" customHeight="true" outlineLevel="0" collapsed="false">
      <c r="B16" s="10" t="s">
        <v>198</v>
      </c>
      <c r="C16" s="33"/>
      <c r="D16" s="12" t="s">
        <v>191</v>
      </c>
    </row>
    <row r="17" customFormat="false" ht="19.5" hidden="false" customHeight="true" outlineLevel="0" collapsed="false">
      <c r="B17" s="10" t="s">
        <v>199</v>
      </c>
      <c r="C17" s="33"/>
      <c r="D17" s="12" t="s">
        <v>191</v>
      </c>
    </row>
    <row r="18" customFormat="false" ht="19.5" hidden="false" customHeight="true" outlineLevel="0" collapsed="false"/>
    <row r="19" customFormat="false" ht="18" hidden="false" customHeight="true" outlineLevel="0" collapsed="false">
      <c r="A19" s="9" t="s">
        <v>200</v>
      </c>
      <c r="B19" s="9"/>
      <c r="C19" s="9"/>
      <c r="D19" s="9"/>
    </row>
    <row r="20" customFormat="false" ht="19.5" hidden="false" customHeight="true" outlineLevel="0" collapsed="false">
      <c r="B20" s="10" t="s">
        <v>201</v>
      </c>
      <c r="C20" s="30"/>
      <c r="D20" s="12" t="s">
        <v>191</v>
      </c>
    </row>
    <row r="21" customFormat="false" ht="19.5" hidden="false" customHeight="true" outlineLevel="0" collapsed="false">
      <c r="B21" s="10" t="s">
        <v>202</v>
      </c>
      <c r="C21" s="35"/>
      <c r="D21" s="12" t="s">
        <v>191</v>
      </c>
    </row>
    <row r="22" customFormat="false" ht="19.5" hidden="false" customHeight="true" outlineLevel="0" collapsed="false">
      <c r="B22" s="10" t="s">
        <v>203</v>
      </c>
      <c r="C22" s="30"/>
      <c r="D22" s="12" t="s">
        <v>191</v>
      </c>
    </row>
    <row r="23" customFormat="false" ht="19.5" hidden="false" customHeight="true" outlineLevel="0" collapsed="false">
      <c r="B23" s="10" t="s">
        <v>204</v>
      </c>
      <c r="C23" s="35"/>
      <c r="D23" s="12" t="s">
        <v>191</v>
      </c>
    </row>
    <row r="24" customFormat="false" ht="19.5" hidden="false" customHeight="true" outlineLevel="0" collapsed="false">
      <c r="B24" s="10" t="s">
        <v>205</v>
      </c>
      <c r="C24" s="34"/>
      <c r="D24" s="12" t="s">
        <v>191</v>
      </c>
    </row>
    <row r="25" customFormat="false" ht="19.5" hidden="false" customHeight="true" outlineLevel="0" collapsed="false">
      <c r="B25" s="10" t="s">
        <v>206</v>
      </c>
      <c r="C25" s="19"/>
      <c r="D25" s="12" t="s">
        <v>191</v>
      </c>
    </row>
  </sheetData>
  <mergeCells count="5">
    <mergeCell ref="B1:D1"/>
    <mergeCell ref="B2:D2"/>
    <mergeCell ref="A4:D4"/>
    <mergeCell ref="A12:D12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12" min="3" style="1" width="12"/>
    <col collapsed="false" customWidth="true" hidden="false" outlineLevel="0" max="13" min="13" style="1" width="14"/>
    <col collapsed="false" customWidth="true" hidden="false" outlineLevel="0" max="14" min="14" style="1" width="18"/>
  </cols>
  <sheetData>
    <row r="1" customFormat="false" ht="15" hidden="false" customHeight="true" outlineLevel="0" collapsed="false">
      <c r="B1" s="21" t="s">
        <v>207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customFormat="false" ht="15" hidden="false" customHeight="true" outlineLevel="0" collapsed="false">
      <c r="B2" s="22" t="s">
        <v>208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customFormat="false" ht="21.75" hidden="false" customHeight="true" outlineLevel="0" collapsed="false">
      <c r="B3" s="23" t="s">
        <v>209</v>
      </c>
      <c r="C3" s="23" t="s">
        <v>210</v>
      </c>
      <c r="D3" s="23" t="s">
        <v>211</v>
      </c>
      <c r="E3" s="23" t="s">
        <v>212</v>
      </c>
      <c r="F3" s="23" t="s">
        <v>213</v>
      </c>
      <c r="G3" s="23" t="s">
        <v>214</v>
      </c>
      <c r="H3" s="23" t="s">
        <v>215</v>
      </c>
      <c r="I3" s="23" t="s">
        <v>216</v>
      </c>
      <c r="J3" s="23" t="s">
        <v>217</v>
      </c>
      <c r="K3" s="23" t="s">
        <v>218</v>
      </c>
      <c r="L3" s="23" t="s">
        <v>219</v>
      </c>
      <c r="M3" s="23" t="s">
        <v>220</v>
      </c>
      <c r="N3" s="23" t="s">
        <v>92</v>
      </c>
    </row>
    <row r="4" customFormat="false" ht="18" hidden="false" customHeight="true" outlineLevel="0" collapsed="false">
      <c r="A4" s="9" t="s">
        <v>221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8" hidden="false" customHeight="true" outlineLevel="0" collapsed="false">
      <c r="B5" s="10" t="s">
        <v>222</v>
      </c>
      <c r="C5" s="34" t="n">
        <v>0</v>
      </c>
      <c r="D5" s="34" t="n">
        <v>0</v>
      </c>
      <c r="E5" s="34" t="n">
        <v>0</v>
      </c>
      <c r="F5" s="34" t="n">
        <v>0</v>
      </c>
      <c r="G5" s="34" t="n">
        <v>0</v>
      </c>
      <c r="H5" s="34" t="n">
        <v>0</v>
      </c>
      <c r="I5" s="34" t="n">
        <v>0</v>
      </c>
      <c r="J5" s="34" t="n">
        <v>0</v>
      </c>
      <c r="K5" s="34" t="n">
        <v>0</v>
      </c>
      <c r="L5" s="34" t="n">
        <v>0</v>
      </c>
      <c r="M5" s="12" t="s">
        <v>223</v>
      </c>
      <c r="N5" s="12" t="s">
        <v>224</v>
      </c>
    </row>
    <row r="6" customFormat="false" ht="18" hidden="false" customHeight="true" outlineLevel="0" collapsed="false">
      <c r="B6" s="10" t="s">
        <v>225</v>
      </c>
      <c r="C6" s="34" t="n">
        <v>0</v>
      </c>
      <c r="D6" s="34" t="n">
        <v>0</v>
      </c>
      <c r="E6" s="34" t="n">
        <v>0</v>
      </c>
      <c r="F6" s="34" t="n">
        <v>0</v>
      </c>
      <c r="G6" s="34" t="n">
        <v>0</v>
      </c>
      <c r="H6" s="34" t="n">
        <v>0</v>
      </c>
      <c r="I6" s="34" t="n">
        <v>0</v>
      </c>
      <c r="J6" s="34" t="n">
        <v>0</v>
      </c>
      <c r="K6" s="34" t="n">
        <v>0</v>
      </c>
      <c r="L6" s="34" t="n">
        <v>0</v>
      </c>
      <c r="M6" s="12" t="s">
        <v>223</v>
      </c>
      <c r="N6" s="12" t="s">
        <v>226</v>
      </c>
    </row>
    <row r="7" customFormat="false" ht="18" hidden="false" customHeight="true" outlineLevel="0" collapsed="false">
      <c r="B7" s="10" t="s">
        <v>227</v>
      </c>
      <c r="C7" s="34" t="n">
        <v>0</v>
      </c>
      <c r="D7" s="34" t="n">
        <v>0</v>
      </c>
      <c r="E7" s="34" t="n">
        <v>0</v>
      </c>
      <c r="F7" s="34" t="n">
        <v>0</v>
      </c>
      <c r="G7" s="34" t="n">
        <v>0</v>
      </c>
      <c r="H7" s="34" t="n">
        <v>0</v>
      </c>
      <c r="I7" s="34" t="n">
        <v>0</v>
      </c>
      <c r="J7" s="34" t="n">
        <v>0</v>
      </c>
      <c r="K7" s="34" t="n">
        <v>0</v>
      </c>
      <c r="L7" s="34" t="n">
        <v>0</v>
      </c>
      <c r="M7" s="12" t="s">
        <v>223</v>
      </c>
      <c r="N7" s="12" t="s">
        <v>228</v>
      </c>
    </row>
    <row r="8" customFormat="false" ht="18" hidden="false" customHeight="true" outlineLevel="0" collapsed="false">
      <c r="B8" s="10" t="s">
        <v>229</v>
      </c>
      <c r="C8" s="35" t="n">
        <v>0</v>
      </c>
      <c r="D8" s="35" t="n">
        <v>0</v>
      </c>
      <c r="E8" s="35" t="n">
        <v>0</v>
      </c>
      <c r="F8" s="35" t="n">
        <v>0</v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12" t="s">
        <v>230</v>
      </c>
      <c r="N8" s="12" t="s">
        <v>231</v>
      </c>
    </row>
    <row r="9" customFormat="false" ht="18" hidden="false" customHeight="true" outlineLevel="0" collapsed="false">
      <c r="B9" s="10" t="s">
        <v>232</v>
      </c>
      <c r="C9" s="35" t="n">
        <v>0</v>
      </c>
      <c r="D9" s="35" t="n">
        <v>0</v>
      </c>
      <c r="E9" s="35" t="n">
        <v>0</v>
      </c>
      <c r="F9" s="35" t="n">
        <v>0</v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12" t="s">
        <v>230</v>
      </c>
      <c r="N9" s="12" t="s">
        <v>233</v>
      </c>
    </row>
    <row r="10" customFormat="false" ht="18" hidden="false" customHeight="true" outlineLevel="0" collapsed="false">
      <c r="B10" s="10" t="s">
        <v>234</v>
      </c>
      <c r="C10" s="35" t="n">
        <v>0</v>
      </c>
      <c r="D10" s="35" t="n">
        <v>0</v>
      </c>
      <c r="E10" s="35" t="n">
        <v>0</v>
      </c>
      <c r="F10" s="35" t="n">
        <v>0</v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12" t="s">
        <v>230</v>
      </c>
      <c r="N10" s="12" t="s">
        <v>235</v>
      </c>
    </row>
    <row r="11" customFormat="false" ht="18" hidden="false" customHeight="true" outlineLevel="0" collapsed="false"/>
    <row r="12" customFormat="false" ht="18" hidden="false" customHeight="true" outlineLevel="0" collapsed="false">
      <c r="A12" s="9" t="s">
        <v>236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customFormat="false" ht="18" hidden="false" customHeight="true" outlineLevel="0" collapsed="false">
      <c r="B13" s="10" t="s">
        <v>237</v>
      </c>
      <c r="C13" s="34" t="n">
        <v>0</v>
      </c>
      <c r="D13" s="34" t="n">
        <v>0</v>
      </c>
      <c r="E13" s="34" t="n">
        <v>0</v>
      </c>
      <c r="F13" s="34" t="n">
        <v>0</v>
      </c>
      <c r="G13" s="34" t="n">
        <v>0</v>
      </c>
      <c r="H13" s="34" t="n">
        <v>0</v>
      </c>
      <c r="I13" s="34" t="n">
        <v>0</v>
      </c>
      <c r="J13" s="34" t="n">
        <v>0</v>
      </c>
      <c r="K13" s="34" t="n">
        <v>0</v>
      </c>
      <c r="L13" s="34" t="n">
        <v>0</v>
      </c>
      <c r="M13" s="12" t="s">
        <v>223</v>
      </c>
      <c r="N13" s="12" t="s">
        <v>238</v>
      </c>
    </row>
    <row r="14" customFormat="false" ht="18" hidden="false" customHeight="true" outlineLevel="0" collapsed="false">
      <c r="B14" s="10" t="s">
        <v>239</v>
      </c>
      <c r="C14" s="34" t="n">
        <v>0</v>
      </c>
      <c r="D14" s="34" t="n">
        <v>0</v>
      </c>
      <c r="E14" s="34" t="n">
        <v>0</v>
      </c>
      <c r="F14" s="34" t="n">
        <v>0</v>
      </c>
      <c r="G14" s="34" t="n">
        <v>0</v>
      </c>
      <c r="H14" s="34" t="n">
        <v>0</v>
      </c>
      <c r="I14" s="34" t="n">
        <v>0</v>
      </c>
      <c r="J14" s="34" t="n">
        <v>0</v>
      </c>
      <c r="K14" s="34" t="n">
        <v>0</v>
      </c>
      <c r="L14" s="34" t="n">
        <v>0</v>
      </c>
      <c r="M14" s="12" t="s">
        <v>223</v>
      </c>
      <c r="N14" s="12" t="s">
        <v>238</v>
      </c>
    </row>
    <row r="15" customFormat="false" ht="18" hidden="false" customHeight="true" outlineLevel="0" collapsed="false">
      <c r="B15" s="10" t="s">
        <v>240</v>
      </c>
      <c r="C15" s="34" t="n">
        <v>0</v>
      </c>
      <c r="D15" s="34" t="n">
        <v>0</v>
      </c>
      <c r="E15" s="34" t="n">
        <v>0</v>
      </c>
      <c r="F15" s="34" t="n">
        <v>0</v>
      </c>
      <c r="G15" s="34" t="n">
        <v>0</v>
      </c>
      <c r="H15" s="34" t="n">
        <v>0</v>
      </c>
      <c r="I15" s="34" t="n">
        <v>0</v>
      </c>
      <c r="J15" s="34" t="n">
        <v>0</v>
      </c>
      <c r="K15" s="34" t="n">
        <v>0</v>
      </c>
      <c r="L15" s="34" t="n">
        <v>0</v>
      </c>
      <c r="M15" s="12" t="s">
        <v>223</v>
      </c>
      <c r="N15" s="12" t="s">
        <v>238</v>
      </c>
    </row>
    <row r="16" customFormat="false" ht="18" hidden="false" customHeight="true" outlineLevel="0" collapsed="false">
      <c r="B16" s="10" t="s">
        <v>241</v>
      </c>
      <c r="C16" s="34" t="n">
        <v>0</v>
      </c>
      <c r="D16" s="34" t="n">
        <v>0</v>
      </c>
      <c r="E16" s="34" t="n">
        <v>0</v>
      </c>
      <c r="F16" s="34" t="n">
        <v>0</v>
      </c>
      <c r="G16" s="34" t="n">
        <v>0</v>
      </c>
      <c r="H16" s="34" t="n">
        <v>0</v>
      </c>
      <c r="I16" s="34" t="n">
        <v>0</v>
      </c>
      <c r="J16" s="34" t="n">
        <v>0</v>
      </c>
      <c r="K16" s="34" t="n">
        <v>0</v>
      </c>
      <c r="L16" s="34" t="n">
        <v>0</v>
      </c>
      <c r="M16" s="12" t="s">
        <v>223</v>
      </c>
      <c r="N16" s="12" t="s">
        <v>242</v>
      </c>
    </row>
    <row r="17" customFormat="false" ht="18" hidden="false" customHeight="true" outlineLevel="0" collapsed="false"/>
    <row r="18" customFormat="false" ht="18" hidden="false" customHeight="true" outlineLevel="0" collapsed="false">
      <c r="A18" s="9" t="s">
        <v>243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customFormat="false" ht="18" hidden="false" customHeight="true" outlineLevel="0" collapsed="false">
      <c r="B19" s="10" t="s">
        <v>244</v>
      </c>
      <c r="C19" s="19" t="n">
        <v>0</v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2" t="s">
        <v>245</v>
      </c>
      <c r="N19" s="12" t="s">
        <v>246</v>
      </c>
    </row>
    <row r="20" customFormat="false" ht="18" hidden="false" customHeight="true" outlineLevel="0" collapsed="false">
      <c r="B20" s="10" t="s">
        <v>247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  <c r="M20" s="12" t="s">
        <v>245</v>
      </c>
      <c r="N20" s="12" t="s">
        <v>248</v>
      </c>
    </row>
    <row r="21" customFormat="false" ht="18" hidden="false" customHeight="true" outlineLevel="0" collapsed="false">
      <c r="B21" s="10" t="s">
        <v>249</v>
      </c>
      <c r="C21" s="19" t="n">
        <v>0</v>
      </c>
      <c r="D21" s="19" t="n">
        <v>0</v>
      </c>
      <c r="E21" s="19" t="n">
        <v>0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19" t="n">
        <v>0</v>
      </c>
      <c r="L21" s="19" t="n">
        <v>0</v>
      </c>
      <c r="M21" s="12" t="s">
        <v>245</v>
      </c>
      <c r="N21" s="12" t="s">
        <v>250</v>
      </c>
    </row>
    <row r="22" customFormat="false" ht="18" hidden="false" customHeight="true" outlineLevel="0" collapsed="false">
      <c r="B22" s="10" t="s">
        <v>251</v>
      </c>
      <c r="C22" s="19" t="n">
        <v>0</v>
      </c>
      <c r="D22" s="19" t="n">
        <v>0</v>
      </c>
      <c r="E22" s="19" t="n">
        <v>0</v>
      </c>
      <c r="F22" s="19" t="n">
        <v>0</v>
      </c>
      <c r="G22" s="19" t="n">
        <v>0</v>
      </c>
      <c r="H22" s="19" t="n">
        <v>0</v>
      </c>
      <c r="I22" s="19" t="n">
        <v>0</v>
      </c>
      <c r="J22" s="19" t="n">
        <v>0</v>
      </c>
      <c r="K22" s="19" t="n">
        <v>0</v>
      </c>
      <c r="L22" s="19" t="n">
        <v>0</v>
      </c>
      <c r="M22" s="12" t="s">
        <v>245</v>
      </c>
      <c r="N22" s="12" t="s">
        <v>242</v>
      </c>
    </row>
    <row r="23" customFormat="false" ht="18" hidden="false" customHeight="true" outlineLevel="0" collapsed="false">
      <c r="B23" s="10" t="s">
        <v>252</v>
      </c>
      <c r="C23" s="30" t="n">
        <v>0</v>
      </c>
      <c r="D23" s="30" t="n">
        <v>0</v>
      </c>
      <c r="E23" s="30" t="n">
        <v>0</v>
      </c>
      <c r="F23" s="30" t="n">
        <v>0</v>
      </c>
      <c r="G23" s="30" t="n">
        <v>0</v>
      </c>
      <c r="H23" s="30" t="n">
        <v>0</v>
      </c>
      <c r="I23" s="30" t="n">
        <v>0</v>
      </c>
      <c r="J23" s="30" t="n">
        <v>0</v>
      </c>
      <c r="K23" s="30" t="n">
        <v>0</v>
      </c>
      <c r="L23" s="30" t="n">
        <v>0</v>
      </c>
      <c r="M23" s="12" t="s">
        <v>65</v>
      </c>
      <c r="N23" s="12" t="s">
        <v>253</v>
      </c>
    </row>
    <row r="24" customFormat="false" ht="18" hidden="false" customHeight="true" outlineLevel="0" collapsed="false">
      <c r="B24" s="10" t="s">
        <v>254</v>
      </c>
      <c r="C24" s="19" t="n">
        <v>0</v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9" t="n">
        <v>0</v>
      </c>
      <c r="L24" s="19" t="n">
        <v>0</v>
      </c>
      <c r="M24" s="12" t="s">
        <v>245</v>
      </c>
      <c r="N24" s="12" t="s">
        <v>255</v>
      </c>
    </row>
    <row r="25" customFormat="false" ht="18" hidden="false" customHeight="true" outlineLevel="0" collapsed="false"/>
    <row r="26" customFormat="false" ht="18" hidden="false" customHeight="true" outlineLevel="0" collapsed="false">
      <c r="A26" s="9" t="s">
        <v>256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customFormat="false" ht="18" hidden="false" customHeight="true" outlineLevel="0" collapsed="false">
      <c r="B27" s="10" t="s">
        <v>257</v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34" t="n">
        <v>0</v>
      </c>
      <c r="I27" s="34" t="n">
        <v>0</v>
      </c>
      <c r="J27" s="34" t="n">
        <v>0</v>
      </c>
      <c r="K27" s="34" t="n">
        <v>0</v>
      </c>
      <c r="L27" s="34" t="n">
        <v>0</v>
      </c>
      <c r="M27" s="12" t="s">
        <v>223</v>
      </c>
      <c r="N27" s="12" t="s">
        <v>258</v>
      </c>
    </row>
    <row r="28" customFormat="false" ht="18" hidden="false" customHeight="true" outlineLevel="0" collapsed="false">
      <c r="B28" s="10" t="s">
        <v>259</v>
      </c>
      <c r="C28" s="19" t="n">
        <v>0</v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2" t="s">
        <v>245</v>
      </c>
      <c r="N28" s="12" t="s">
        <v>260</v>
      </c>
    </row>
    <row r="29" customFormat="false" ht="18" hidden="false" customHeight="true" outlineLevel="0" collapsed="false">
      <c r="B29" s="10" t="s">
        <v>261</v>
      </c>
      <c r="C29" s="19" t="n">
        <v>0</v>
      </c>
      <c r="D29" s="19" t="n">
        <v>0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2" t="s">
        <v>245</v>
      </c>
      <c r="N29" s="12" t="s">
        <v>262</v>
      </c>
    </row>
    <row r="30" customFormat="false" ht="18" hidden="false" customHeight="true" outlineLevel="0" collapsed="false">
      <c r="B30" s="10" t="s">
        <v>263</v>
      </c>
      <c r="C30" s="19" t="n">
        <v>0</v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2" t="s">
        <v>245</v>
      </c>
      <c r="N30" s="12" t="s">
        <v>264</v>
      </c>
    </row>
  </sheetData>
  <mergeCells count="6">
    <mergeCell ref="B1:M1"/>
    <mergeCell ref="B2:M2"/>
    <mergeCell ref="A4:M4"/>
    <mergeCell ref="A12:M12"/>
    <mergeCell ref="A18:M18"/>
    <mergeCell ref="A26:M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12" min="3" style="1" width="12"/>
    <col collapsed="false" customWidth="true" hidden="false" outlineLevel="0" max="13" min="13" style="1" width="14"/>
    <col collapsed="false" customWidth="true" hidden="false" outlineLevel="0" max="14" min="14" style="1" width="18"/>
  </cols>
  <sheetData>
    <row r="1" customFormat="false" ht="15" hidden="false" customHeight="true" outlineLevel="0" collapsed="false">
      <c r="B1" s="21" t="s">
        <v>265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customFormat="false" ht="15" hidden="false" customHeight="true" outlineLevel="0" collapsed="false">
      <c r="B2" s="22" t="s">
        <v>266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customFormat="false" ht="15" hidden="false" customHeight="true" outlineLevel="0" collapsed="false">
      <c r="B3" s="23" t="s">
        <v>267</v>
      </c>
      <c r="C3" s="23" t="s">
        <v>210</v>
      </c>
      <c r="D3" s="23" t="s">
        <v>211</v>
      </c>
      <c r="E3" s="23" t="s">
        <v>212</v>
      </c>
      <c r="F3" s="23" t="s">
        <v>213</v>
      </c>
      <c r="G3" s="23" t="s">
        <v>214</v>
      </c>
      <c r="H3" s="23" t="s">
        <v>215</v>
      </c>
      <c r="I3" s="23" t="s">
        <v>216</v>
      </c>
      <c r="J3" s="23" t="s">
        <v>217</v>
      </c>
      <c r="K3" s="23" t="s">
        <v>218</v>
      </c>
      <c r="L3" s="23" t="s">
        <v>219</v>
      </c>
      <c r="M3" s="23" t="s">
        <v>220</v>
      </c>
      <c r="N3" s="23" t="s">
        <v>132</v>
      </c>
    </row>
    <row r="4" customFormat="false" ht="19.5" hidden="false" customHeight="true" outlineLevel="0" collapsed="false">
      <c r="B4" s="10" t="s">
        <v>268</v>
      </c>
      <c r="C4" s="19" t="n">
        <v>0</v>
      </c>
      <c r="D4" s="19" t="n">
        <v>0</v>
      </c>
      <c r="E4" s="19" t="n">
        <v>0</v>
      </c>
      <c r="F4" s="19" t="n">
        <v>0</v>
      </c>
      <c r="G4" s="19" t="n">
        <v>0</v>
      </c>
      <c r="H4" s="19" t="n">
        <v>0</v>
      </c>
      <c r="I4" s="19" t="n">
        <v>0</v>
      </c>
      <c r="J4" s="19" t="n">
        <v>0</v>
      </c>
      <c r="K4" s="19" t="n">
        <v>0</v>
      </c>
      <c r="L4" s="19" t="n">
        <v>0</v>
      </c>
      <c r="M4" s="12" t="s">
        <v>245</v>
      </c>
      <c r="N4" s="12" t="s">
        <v>269</v>
      </c>
    </row>
    <row r="5" customFormat="false" ht="19.5" hidden="false" customHeight="true" outlineLevel="0" collapsed="false">
      <c r="B5" s="10" t="s">
        <v>270</v>
      </c>
      <c r="C5" s="19" t="n">
        <v>0</v>
      </c>
      <c r="D5" s="19" t="n">
        <v>0</v>
      </c>
      <c r="E5" s="19" t="n">
        <v>0</v>
      </c>
      <c r="F5" s="19" t="n">
        <v>0</v>
      </c>
      <c r="G5" s="19" t="n">
        <v>0</v>
      </c>
      <c r="H5" s="19" t="n">
        <v>0</v>
      </c>
      <c r="I5" s="19" t="n">
        <v>0</v>
      </c>
      <c r="J5" s="19" t="n">
        <v>0</v>
      </c>
      <c r="K5" s="19" t="n">
        <v>0</v>
      </c>
      <c r="L5" s="19" t="n">
        <v>0</v>
      </c>
      <c r="M5" s="12" t="s">
        <v>245</v>
      </c>
      <c r="N5" s="12" t="s">
        <v>271</v>
      </c>
    </row>
    <row r="6" customFormat="false" ht="19.5" hidden="false" customHeight="true" outlineLevel="0" collapsed="false">
      <c r="B6" s="10" t="s">
        <v>272</v>
      </c>
      <c r="C6" s="19" t="n">
        <v>0</v>
      </c>
      <c r="D6" s="19" t="n">
        <v>0</v>
      </c>
      <c r="E6" s="19" t="n">
        <v>0</v>
      </c>
      <c r="F6" s="19" t="n">
        <v>0</v>
      </c>
      <c r="G6" s="19" t="n">
        <v>0</v>
      </c>
      <c r="H6" s="19" t="n">
        <v>0</v>
      </c>
      <c r="I6" s="19" t="n">
        <v>0</v>
      </c>
      <c r="J6" s="19" t="n">
        <v>0</v>
      </c>
      <c r="K6" s="19" t="n">
        <v>0</v>
      </c>
      <c r="L6" s="19" t="n">
        <v>0</v>
      </c>
      <c r="M6" s="12" t="s">
        <v>245</v>
      </c>
      <c r="N6" s="12" t="s">
        <v>273</v>
      </c>
    </row>
    <row r="7" customFormat="false" ht="19.5" hidden="false" customHeight="true" outlineLevel="0" collapsed="false">
      <c r="B7" s="10" t="s">
        <v>274</v>
      </c>
      <c r="C7" s="19" t="n">
        <v>0</v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2" t="s">
        <v>245</v>
      </c>
      <c r="N7" s="12" t="s">
        <v>275</v>
      </c>
    </row>
    <row r="8" customFormat="false" ht="19.5" hidden="false" customHeight="true" outlineLevel="0" collapsed="false">
      <c r="B8" s="10" t="s">
        <v>276</v>
      </c>
      <c r="C8" s="19" t="n">
        <v>0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2" t="s">
        <v>245</v>
      </c>
      <c r="N8" s="12" t="s">
        <v>277</v>
      </c>
    </row>
    <row r="9" customFormat="false" ht="19.5" hidden="false" customHeight="true" outlineLevel="0" collapsed="false">
      <c r="B9" s="10" t="s">
        <v>278</v>
      </c>
      <c r="C9" s="19" t="n">
        <v>0</v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2" t="s">
        <v>245</v>
      </c>
      <c r="N9" s="12" t="s">
        <v>279</v>
      </c>
    </row>
    <row r="10" customFormat="false" ht="19.5" hidden="false" customHeight="true" outlineLevel="0" collapsed="false">
      <c r="B10" s="10" t="s">
        <v>280</v>
      </c>
      <c r="C10" s="19" t="n">
        <v>0</v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2" t="s">
        <v>245</v>
      </c>
      <c r="N10" s="12" t="s">
        <v>281</v>
      </c>
    </row>
    <row r="11" customFormat="false" ht="19.5" hidden="false" customHeight="true" outlineLevel="0" collapsed="false">
      <c r="B11" s="10" t="s">
        <v>282</v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2" t="s">
        <v>245</v>
      </c>
      <c r="N11" s="12" t="s">
        <v>283</v>
      </c>
    </row>
    <row r="12" customFormat="false" ht="19.5" hidden="false" customHeight="true" outlineLevel="0" collapsed="false">
      <c r="B12" s="10" t="s">
        <v>284</v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2" t="s">
        <v>245</v>
      </c>
      <c r="N12" s="12" t="s">
        <v>285</v>
      </c>
    </row>
    <row r="13" customFormat="false" ht="19.5" hidden="false" customHeight="true" outlineLevel="0" collapsed="false">
      <c r="B13" s="10" t="s">
        <v>286</v>
      </c>
      <c r="C13" s="19" t="n">
        <v>0</v>
      </c>
      <c r="D13" s="19" t="n">
        <v>0</v>
      </c>
      <c r="E13" s="19" t="n">
        <v>0</v>
      </c>
      <c r="F13" s="19" t="n">
        <v>0</v>
      </c>
      <c r="G13" s="19" t="n">
        <v>0</v>
      </c>
      <c r="H13" s="19" t="n">
        <v>0</v>
      </c>
      <c r="I13" s="19" t="n">
        <v>0</v>
      </c>
      <c r="J13" s="19" t="n">
        <v>0</v>
      </c>
      <c r="K13" s="19" t="n">
        <v>0</v>
      </c>
      <c r="L13" s="19" t="n">
        <v>0</v>
      </c>
      <c r="M13" s="12" t="s">
        <v>245</v>
      </c>
      <c r="N13" s="12" t="s">
        <v>287</v>
      </c>
    </row>
    <row r="14" customFormat="false" ht="19.5" hidden="false" customHeight="true" outlineLevel="0" collapsed="false">
      <c r="B14" s="10" t="s">
        <v>288</v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0</v>
      </c>
      <c r="M14" s="12" t="s">
        <v>245</v>
      </c>
      <c r="N14" s="12" t="s">
        <v>289</v>
      </c>
    </row>
    <row r="15" customFormat="false" ht="19.5" hidden="false" customHeight="true" outlineLevel="0" collapsed="false">
      <c r="B15" s="10" t="s">
        <v>290</v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9" t="n">
        <v>0</v>
      </c>
      <c r="M15" s="12" t="s">
        <v>245</v>
      </c>
      <c r="N15" s="12" t="s">
        <v>291</v>
      </c>
    </row>
    <row r="16" customFormat="false" ht="19.5" hidden="false" customHeight="true" outlineLevel="0" collapsed="false">
      <c r="B16" s="10" t="s">
        <v>179</v>
      </c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2" t="s">
        <v>245</v>
      </c>
      <c r="N16" s="12" t="s">
        <v>292</v>
      </c>
    </row>
    <row r="17" customFormat="false" ht="19.5" hidden="false" customHeight="true" outlineLevel="0" collapsed="false">
      <c r="B17" s="29" t="s">
        <v>293</v>
      </c>
      <c r="C17" s="26" t="n">
        <f aca="false">SUM(C4:C16)</f>
        <v>0</v>
      </c>
      <c r="D17" s="26" t="n">
        <f aca="false">SUM(D4:D16)</f>
        <v>0</v>
      </c>
      <c r="E17" s="26" t="n">
        <f aca="false">SUM(E4:E16)</f>
        <v>0</v>
      </c>
      <c r="F17" s="26" t="n">
        <f aca="false">SUM(F4:F16)</f>
        <v>0</v>
      </c>
      <c r="G17" s="26" t="n">
        <f aca="false">SUM(G4:G16)</f>
        <v>0</v>
      </c>
      <c r="H17" s="26" t="n">
        <f aca="false">SUM(H4:H16)</f>
        <v>0</v>
      </c>
      <c r="I17" s="26" t="n">
        <f aca="false">SUM(I4:I16)</f>
        <v>0</v>
      </c>
      <c r="J17" s="26" t="n">
        <f aca="false">SUM(J4:J16)</f>
        <v>0</v>
      </c>
      <c r="K17" s="26" t="n">
        <f aca="false">SUM(K4:K16)</f>
        <v>0</v>
      </c>
      <c r="L17" s="26" t="n">
        <f aca="false">SUM(L4:L16)</f>
        <v>0</v>
      </c>
    </row>
  </sheetData>
  <mergeCells count="2">
    <mergeCell ref="B1:M1"/>
    <mergeCell ref="B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12" min="3" style="1" width="12"/>
    <col collapsed="false" customWidth="true" hidden="false" outlineLevel="0" max="13" min="13" style="1" width="14"/>
  </cols>
  <sheetData>
    <row r="1" customFormat="false" ht="15" hidden="false" customHeight="true" outlineLevel="0" collapsed="false">
      <c r="B1" s="21" t="s">
        <v>294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customFormat="false" ht="15" hidden="false" customHeight="true" outlineLevel="0" collapsed="false">
      <c r="B2" s="22" t="s">
        <v>295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customFormat="false" ht="15" hidden="false" customHeight="true" outlineLevel="0" collapsed="false">
      <c r="B3" s="23" t="s">
        <v>188</v>
      </c>
      <c r="C3" s="23" t="s">
        <v>210</v>
      </c>
      <c r="D3" s="23" t="s">
        <v>211</v>
      </c>
      <c r="E3" s="23" t="s">
        <v>212</v>
      </c>
      <c r="F3" s="23" t="s">
        <v>213</v>
      </c>
      <c r="G3" s="23" t="s">
        <v>214</v>
      </c>
      <c r="H3" s="23" t="s">
        <v>215</v>
      </c>
      <c r="I3" s="23" t="s">
        <v>216</v>
      </c>
      <c r="J3" s="23" t="s">
        <v>217</v>
      </c>
      <c r="K3" s="23" t="s">
        <v>218</v>
      </c>
      <c r="L3" s="23" t="s">
        <v>219</v>
      </c>
      <c r="M3" s="23" t="s">
        <v>132</v>
      </c>
    </row>
    <row r="4" customFormat="false" ht="18" hidden="false" customHeight="true" outlineLevel="0" collapsed="false">
      <c r="A4" s="9" t="s">
        <v>296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customFormat="false" ht="18" hidden="false" customHeight="true" outlineLevel="0" collapsed="false">
      <c r="B5" s="10" t="s">
        <v>297</v>
      </c>
      <c r="C5" s="16" t="n">
        <f aca="false">'7 - Revenue Forecast'!L21</f>
        <v>0</v>
      </c>
      <c r="D5" s="16" t="n">
        <f aca="false">'7 - Revenue Forecast'!L21</f>
        <v>0</v>
      </c>
      <c r="E5" s="16" t="n">
        <f aca="false">'7 - Revenue Forecast'!L21</f>
        <v>0</v>
      </c>
      <c r="F5" s="16" t="n">
        <f aca="false">'7 - Revenue Forecast'!L21</f>
        <v>0</v>
      </c>
      <c r="G5" s="16" t="n">
        <f aca="false">'7 - Revenue Forecast'!L21</f>
        <v>0</v>
      </c>
      <c r="H5" s="16" t="n">
        <f aca="false">'7 - Revenue Forecast'!L21</f>
        <v>0</v>
      </c>
      <c r="I5" s="16" t="n">
        <f aca="false">'7 - Revenue Forecast'!L21</f>
        <v>0</v>
      </c>
      <c r="J5" s="16" t="n">
        <f aca="false">'7 - Revenue Forecast'!L21</f>
        <v>0</v>
      </c>
      <c r="K5" s="16" t="n">
        <f aca="false">'7 - Revenue Forecast'!L21</f>
        <v>0</v>
      </c>
      <c r="L5" s="16" t="n">
        <f aca="false">'7 - Revenue Forecast'!L21</f>
        <v>0</v>
      </c>
    </row>
    <row r="6" customFormat="false" ht="18" hidden="false" customHeight="true" outlineLevel="0" collapsed="false">
      <c r="B6" s="10" t="s">
        <v>298</v>
      </c>
      <c r="C6" s="16" t="n">
        <f aca="false">'8 - OPEX'!C17</f>
        <v>0</v>
      </c>
      <c r="D6" s="16" t="n">
        <f aca="false">'8 - OPEX'!C17</f>
        <v>0</v>
      </c>
      <c r="E6" s="16" t="n">
        <f aca="false">'8 - OPEX'!C17</f>
        <v>0</v>
      </c>
      <c r="F6" s="16" t="n">
        <f aca="false">'8 - OPEX'!C17</f>
        <v>0</v>
      </c>
      <c r="G6" s="16" t="n">
        <f aca="false">'8 - OPEX'!C17</f>
        <v>0</v>
      </c>
      <c r="H6" s="16" t="n">
        <f aca="false">'8 - OPEX'!C17</f>
        <v>0</v>
      </c>
      <c r="I6" s="16" t="n">
        <f aca="false">'8 - OPEX'!C17</f>
        <v>0</v>
      </c>
      <c r="J6" s="16" t="n">
        <f aca="false">'8 - OPEX'!C17</f>
        <v>0</v>
      </c>
      <c r="K6" s="16" t="n">
        <f aca="false">'8 - OPEX'!C17</f>
        <v>0</v>
      </c>
      <c r="L6" s="16" t="n">
        <f aca="false">'8 - OPEX'!C17</f>
        <v>0</v>
      </c>
    </row>
    <row r="7" customFormat="false" ht="18" hidden="false" customHeight="true" outlineLevel="0" collapsed="false">
      <c r="B7" s="10" t="s">
        <v>299</v>
      </c>
      <c r="C7" s="26" t="n">
        <f aca="false">C5-C6</f>
        <v>0</v>
      </c>
      <c r="D7" s="26" t="n">
        <f aca="false">D5-C6</f>
        <v>0</v>
      </c>
      <c r="E7" s="26" t="n">
        <f aca="false">E5-C6</f>
        <v>0</v>
      </c>
      <c r="F7" s="26" t="n">
        <f aca="false">F5-C6</f>
        <v>0</v>
      </c>
      <c r="G7" s="26" t="n">
        <f aca="false">G5-C6</f>
        <v>0</v>
      </c>
      <c r="H7" s="26" t="n">
        <f aca="false">H5-C6</f>
        <v>0</v>
      </c>
      <c r="I7" s="26" t="n">
        <f aca="false">I5-C6</f>
        <v>0</v>
      </c>
      <c r="J7" s="26" t="n">
        <f aca="false">J5-C6</f>
        <v>0</v>
      </c>
      <c r="K7" s="26" t="n">
        <f aca="false">K5-C6</f>
        <v>0</v>
      </c>
      <c r="L7" s="26" t="n">
        <f aca="false">L5-C6</f>
        <v>0</v>
      </c>
    </row>
    <row r="8" customFormat="false" ht="18" hidden="false" customHeight="true" outlineLevel="0" collapsed="false">
      <c r="B8" s="10" t="s">
        <v>300</v>
      </c>
      <c r="C8" s="19" t="n">
        <v>0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</row>
    <row r="9" customFormat="false" ht="18" hidden="false" customHeight="true" outlineLevel="0" collapsed="false">
      <c r="B9" s="10" t="s">
        <v>301</v>
      </c>
      <c r="C9" s="19" t="n">
        <v>0</v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</row>
    <row r="10" customFormat="false" ht="18" hidden="false" customHeight="true" outlineLevel="0" collapsed="false">
      <c r="B10" s="10" t="s">
        <v>302</v>
      </c>
      <c r="C10" s="19" t="n">
        <v>0</v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</row>
    <row r="11" customFormat="false" ht="18" hidden="false" customHeight="true" outlineLevel="0" collapsed="false">
      <c r="B11" s="10" t="s">
        <v>303</v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</row>
    <row r="12" customFormat="false" ht="18" hidden="false" customHeight="true" outlineLevel="0" collapsed="false">
      <c r="A12" s="9" t="s">
        <v>304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customFormat="false" ht="18" hidden="false" customHeight="true" outlineLevel="0" collapsed="false">
      <c r="B13" s="10" t="s">
        <v>305</v>
      </c>
      <c r="C13" s="19" t="n">
        <v>0</v>
      </c>
      <c r="D13" s="19" t="n">
        <v>0</v>
      </c>
      <c r="E13" s="19" t="n">
        <v>0</v>
      </c>
      <c r="F13" s="19" t="n">
        <v>0</v>
      </c>
      <c r="G13" s="19" t="n">
        <v>0</v>
      </c>
      <c r="H13" s="19" t="n">
        <v>0</v>
      </c>
      <c r="I13" s="19" t="n">
        <v>0</v>
      </c>
      <c r="J13" s="19" t="n">
        <v>0</v>
      </c>
      <c r="K13" s="19" t="n">
        <v>0</v>
      </c>
      <c r="L13" s="19" t="n">
        <v>0</v>
      </c>
    </row>
    <row r="14" customFormat="false" ht="18" hidden="false" customHeight="true" outlineLevel="0" collapsed="false">
      <c r="B14" s="10" t="s">
        <v>306</v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0</v>
      </c>
    </row>
    <row r="15" customFormat="false" ht="18" hidden="false" customHeight="true" outlineLevel="0" collapsed="false">
      <c r="B15" s="10" t="s">
        <v>307</v>
      </c>
      <c r="C15" s="26" t="n">
        <f aca="false">C12+C13</f>
        <v>0</v>
      </c>
      <c r="D15" s="26" t="n">
        <f aca="false">D12+D13</f>
        <v>0</v>
      </c>
      <c r="E15" s="26" t="n">
        <f aca="false">E12+E13</f>
        <v>0</v>
      </c>
      <c r="F15" s="26" t="n">
        <f aca="false">F12+F13</f>
        <v>0</v>
      </c>
      <c r="G15" s="26" t="n">
        <f aca="false">G12+G13</f>
        <v>0</v>
      </c>
      <c r="H15" s="26" t="n">
        <f aca="false">H12+H13</f>
        <v>0</v>
      </c>
      <c r="I15" s="26" t="n">
        <f aca="false">I12+I13</f>
        <v>0</v>
      </c>
      <c r="J15" s="26" t="n">
        <f aca="false">J12+J13</f>
        <v>0</v>
      </c>
      <c r="K15" s="26" t="n">
        <f aca="false">K12+K13</f>
        <v>0</v>
      </c>
      <c r="L15" s="26" t="n">
        <f aca="false">L12+L13</f>
        <v>0</v>
      </c>
    </row>
    <row r="16" customFormat="false" ht="18" hidden="false" customHeight="true" outlineLevel="0" collapsed="false">
      <c r="A16" s="9" t="s">
        <v>308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customFormat="false" ht="18" hidden="false" customHeight="true" outlineLevel="0" collapsed="false">
      <c r="B17" s="10" t="s">
        <v>309</v>
      </c>
      <c r="C17" s="26" t="n">
        <f aca="false">C7-C14</f>
        <v>0</v>
      </c>
      <c r="D17" s="26" t="n">
        <f aca="false">D7-D14</f>
        <v>0</v>
      </c>
      <c r="E17" s="26" t="n">
        <f aca="false">E7-E14</f>
        <v>0</v>
      </c>
      <c r="F17" s="26" t="n">
        <f aca="false">F7-F14</f>
        <v>0</v>
      </c>
      <c r="G17" s="26" t="n">
        <f aca="false">G7-G14</f>
        <v>0</v>
      </c>
      <c r="H17" s="26" t="n">
        <f aca="false">H7-H14</f>
        <v>0</v>
      </c>
      <c r="I17" s="26" t="n">
        <f aca="false">I7-I14</f>
        <v>0</v>
      </c>
      <c r="J17" s="26" t="n">
        <f aca="false">J7-J14</f>
        <v>0</v>
      </c>
      <c r="K17" s="26" t="n">
        <f aca="false">K7-K14</f>
        <v>0</v>
      </c>
      <c r="L17" s="26" t="n">
        <f aca="false">L7-L14</f>
        <v>0</v>
      </c>
    </row>
    <row r="18" customFormat="false" ht="18" hidden="false" customHeight="true" outlineLevel="0" collapsed="false">
      <c r="B18" s="10" t="s">
        <v>310</v>
      </c>
      <c r="C18" s="26" t="n">
        <f aca="false">C16</f>
        <v>0</v>
      </c>
      <c r="D18" s="26" t="n">
        <f aca="false">C17+D16</f>
        <v>0</v>
      </c>
      <c r="E18" s="26" t="n">
        <f aca="false">D17+E16</f>
        <v>0</v>
      </c>
      <c r="F18" s="26" t="n">
        <f aca="false">E17+F16</f>
        <v>0</v>
      </c>
      <c r="G18" s="26" t="n">
        <f aca="false">F17+G16</f>
        <v>0</v>
      </c>
      <c r="H18" s="26" t="n">
        <f aca="false">G17+H16</f>
        <v>0</v>
      </c>
      <c r="I18" s="26" t="n">
        <f aca="false">H17+I16</f>
        <v>0</v>
      </c>
      <c r="J18" s="26" t="n">
        <f aca="false">I17+J16</f>
        <v>0</v>
      </c>
      <c r="K18" s="26" t="n">
        <f aca="false">J17+K16</f>
        <v>0</v>
      </c>
      <c r="L18" s="26" t="n">
        <f aca="false">K17+L16</f>
        <v>0</v>
      </c>
    </row>
    <row r="19" customFormat="false" ht="18" hidden="false" customHeight="true" outlineLevel="0" collapsed="false">
      <c r="B19" s="10" t="s">
        <v>311</v>
      </c>
      <c r="C19" s="36" t="str">
        <f aca="false">IF(C14&gt;0,C7/C14,"N/A")</f>
        <v>N/A</v>
      </c>
      <c r="D19" s="36" t="str">
        <f aca="false">IF(D14&gt;0,C7/D14,"N/A")</f>
        <v>N/A</v>
      </c>
      <c r="E19" s="36" t="str">
        <f aca="false">IF(E14&gt;0,C7/E14,"N/A")</f>
        <v>N/A</v>
      </c>
      <c r="F19" s="36" t="str">
        <f aca="false">IF(F14&gt;0,C7/F14,"N/A")</f>
        <v>N/A</v>
      </c>
      <c r="G19" s="36" t="str">
        <f aca="false">IF(G14&gt;0,C7/G14,"N/A")</f>
        <v>N/A</v>
      </c>
      <c r="H19" s="36" t="str">
        <f aca="false">IF(H14&gt;0,C7/H14,"N/A")</f>
        <v>N/A</v>
      </c>
      <c r="I19" s="36" t="str">
        <f aca="false">IF(I14&gt;0,C7/I14,"N/A")</f>
        <v>N/A</v>
      </c>
      <c r="J19" s="36" t="str">
        <f aca="false">IF(J14&gt;0,C7/J14,"N/A")</f>
        <v>N/A</v>
      </c>
      <c r="K19" s="36" t="str">
        <f aca="false">IF(K14&gt;0,C7/K14,"N/A")</f>
        <v>N/A</v>
      </c>
      <c r="L19" s="36" t="str">
        <f aca="false">IF(L14&gt;0,C7/L14,"N/A")</f>
        <v>N/A</v>
      </c>
    </row>
    <row r="20" customFormat="false" ht="18" hidden="false" customHeight="true" outlineLevel="0" collapsed="false">
      <c r="B20" s="10" t="s">
        <v>312</v>
      </c>
      <c r="C20" s="36" t="str">
        <f aca="false">IF(ISNUMBER(C18),IF(C18&gt;=1.3,"YES","BELOW 1.3x"),"N/A")</f>
        <v>N/A</v>
      </c>
      <c r="D20" s="36" t="str">
        <f aca="false">IF(ISNUMBER(D18),IF(D18&gt;=1.3,"YES","BELOW 1.3x"),"N/A")</f>
        <v>BELOW 1.3x</v>
      </c>
      <c r="E20" s="36" t="str">
        <f aca="false">IF(ISNUMBER(E18),IF(E18&gt;=1.3,"YES","BELOW 1.3x"),"N/A")</f>
        <v>BELOW 1.3x</v>
      </c>
      <c r="F20" s="36" t="str">
        <f aca="false">IF(ISNUMBER(F18),IF(F18&gt;=1.3,"YES","BELOW 1.3x"),"N/A")</f>
        <v>BELOW 1.3x</v>
      </c>
      <c r="G20" s="36" t="str">
        <f aca="false">IF(ISNUMBER(G18),IF(G18&gt;=1.3,"YES","BELOW 1.3x"),"N/A")</f>
        <v>BELOW 1.3x</v>
      </c>
      <c r="H20" s="36" t="str">
        <f aca="false">IF(ISNUMBER(H18),IF(H18&gt;=1.3,"YES","BELOW 1.3x"),"N/A")</f>
        <v>BELOW 1.3x</v>
      </c>
      <c r="I20" s="36" t="str">
        <f aca="false">IF(ISNUMBER(I18),IF(I18&gt;=1.3,"YES","BELOW 1.3x"),"N/A")</f>
        <v>BELOW 1.3x</v>
      </c>
      <c r="J20" s="36" t="str">
        <f aca="false">IF(ISNUMBER(J18),IF(J18&gt;=1.3,"YES","BELOW 1.3x"),"N/A")</f>
        <v>BELOW 1.3x</v>
      </c>
      <c r="K20" s="36" t="str">
        <f aca="false">IF(ISNUMBER(K18),IF(K18&gt;=1.3,"YES","BELOW 1.3x"),"N/A")</f>
        <v>BELOW 1.3x</v>
      </c>
      <c r="L20" s="36" t="str">
        <f aca="false">IF(ISNUMBER(L18),IF(L18&gt;=1.3,"YES","BELOW 1.3x"),"N/A")</f>
        <v>BELOW 1.3x</v>
      </c>
    </row>
  </sheetData>
  <mergeCells count="5">
    <mergeCell ref="B1:M1"/>
    <mergeCell ref="B2:M2"/>
    <mergeCell ref="A4:L4"/>
    <mergeCell ref="A12:L12"/>
    <mergeCell ref="A16:L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5" min="3" style="1" width="22"/>
    <col collapsed="false" customWidth="true" hidden="false" outlineLevel="0" max="6" min="6" style="1" width="28"/>
  </cols>
  <sheetData>
    <row r="1" customFormat="false" ht="15" hidden="false" customHeight="true" outlineLevel="0" collapsed="false">
      <c r="B1" s="21" t="s">
        <v>313</v>
      </c>
      <c r="C1" s="21"/>
      <c r="D1" s="21"/>
      <c r="E1" s="21"/>
    </row>
    <row r="2" customFormat="false" ht="15" hidden="false" customHeight="true" outlineLevel="0" collapsed="false">
      <c r="B2" s="22" t="s">
        <v>314</v>
      </c>
      <c r="C2" s="22"/>
      <c r="D2" s="22"/>
      <c r="E2" s="22"/>
    </row>
    <row r="3" customFormat="false" ht="15" hidden="false" customHeight="true" outlineLevel="0" collapsed="false">
      <c r="B3" s="23" t="s">
        <v>315</v>
      </c>
      <c r="C3" s="23" t="s">
        <v>316</v>
      </c>
      <c r="D3" s="23" t="s">
        <v>317</v>
      </c>
      <c r="E3" s="23" t="s">
        <v>318</v>
      </c>
      <c r="F3" s="23" t="s">
        <v>319</v>
      </c>
    </row>
    <row r="4" customFormat="false" ht="30" hidden="false" customHeight="true" outlineLevel="0" collapsed="false">
      <c r="B4" s="37" t="s">
        <v>320</v>
      </c>
      <c r="C4" s="33" t="s">
        <v>321</v>
      </c>
      <c r="D4" s="33" t="s">
        <v>322</v>
      </c>
      <c r="E4" s="33" t="s">
        <v>323</v>
      </c>
      <c r="F4" s="12" t="s">
        <v>324</v>
      </c>
    </row>
    <row r="5" customFormat="false" ht="30" hidden="false" customHeight="true" outlineLevel="0" collapsed="false">
      <c r="B5" s="37" t="s">
        <v>325</v>
      </c>
      <c r="C5" s="33" t="s">
        <v>326</v>
      </c>
      <c r="D5" s="33" t="s">
        <v>327</v>
      </c>
      <c r="E5" s="33" t="s">
        <v>328</v>
      </c>
      <c r="F5" s="12" t="s">
        <v>329</v>
      </c>
    </row>
    <row r="6" customFormat="false" ht="30" hidden="false" customHeight="true" outlineLevel="0" collapsed="false">
      <c r="B6" s="37" t="s">
        <v>330</v>
      </c>
      <c r="C6" s="33" t="s">
        <v>331</v>
      </c>
      <c r="D6" s="33" t="s">
        <v>332</v>
      </c>
      <c r="E6" s="33" t="s">
        <v>333</v>
      </c>
      <c r="F6" s="12" t="s">
        <v>334</v>
      </c>
    </row>
    <row r="7" customFormat="false" ht="30" hidden="false" customHeight="true" outlineLevel="0" collapsed="false">
      <c r="B7" s="37" t="s">
        <v>335</v>
      </c>
      <c r="C7" s="33" t="s">
        <v>336</v>
      </c>
      <c r="D7" s="33" t="s">
        <v>337</v>
      </c>
      <c r="E7" s="33" t="s">
        <v>338</v>
      </c>
      <c r="F7" s="12" t="s">
        <v>339</v>
      </c>
    </row>
    <row r="8" customFormat="false" ht="30" hidden="false" customHeight="true" outlineLevel="0" collapsed="false">
      <c r="B8" s="37" t="s">
        <v>340</v>
      </c>
      <c r="C8" s="33" t="s">
        <v>341</v>
      </c>
      <c r="D8" s="33" t="s">
        <v>342</v>
      </c>
      <c r="E8" s="33" t="s">
        <v>343</v>
      </c>
      <c r="F8" s="12" t="s">
        <v>344</v>
      </c>
    </row>
    <row r="9" customFormat="false" ht="30" hidden="false" customHeight="true" outlineLevel="0" collapsed="false">
      <c r="B9" s="37" t="s">
        <v>345</v>
      </c>
      <c r="C9" s="33" t="s">
        <v>346</v>
      </c>
      <c r="D9" s="33" t="s">
        <v>347</v>
      </c>
      <c r="E9" s="33" t="s">
        <v>348</v>
      </c>
      <c r="F9" s="12" t="s">
        <v>349</v>
      </c>
    </row>
    <row r="10" customFormat="false" ht="30" hidden="false" customHeight="true" outlineLevel="0" collapsed="false">
      <c r="B10" s="37" t="s">
        <v>350</v>
      </c>
      <c r="C10" s="33" t="s">
        <v>351</v>
      </c>
      <c r="D10" s="33" t="s">
        <v>352</v>
      </c>
      <c r="E10" s="33" t="s">
        <v>353</v>
      </c>
      <c r="F10" s="12" t="s">
        <v>354</v>
      </c>
    </row>
    <row r="11" customFormat="false" ht="15.75" hidden="false" customHeight="true" outlineLevel="0" collapsed="false"/>
    <row r="12" customFormat="false" ht="18" hidden="false" customHeight="true" outlineLevel="0" collapsed="false">
      <c r="A12" s="9" t="s">
        <v>355</v>
      </c>
      <c r="B12" s="9"/>
      <c r="C12" s="9"/>
      <c r="D12" s="9"/>
      <c r="E12" s="9"/>
    </row>
    <row r="13" customFormat="false" ht="15" hidden="false" customHeight="true" outlineLevel="0" collapsed="false">
      <c r="B13" s="8" t="s">
        <v>356</v>
      </c>
      <c r="C13" s="8" t="s">
        <v>357</v>
      </c>
      <c r="D13" s="8" t="s">
        <v>358</v>
      </c>
      <c r="E13" s="8" t="s">
        <v>359</v>
      </c>
      <c r="F13" s="8" t="s">
        <v>360</v>
      </c>
    </row>
    <row r="14" customFormat="false" ht="19.5" hidden="false" customHeight="true" outlineLevel="0" collapsed="false">
      <c r="B14" s="10" t="s">
        <v>320</v>
      </c>
      <c r="C14" s="38"/>
      <c r="D14" s="38"/>
      <c r="E14" s="38"/>
      <c r="F14" s="38"/>
    </row>
    <row r="15" customFormat="false" ht="19.5" hidden="false" customHeight="true" outlineLevel="0" collapsed="false">
      <c r="B15" s="10" t="s">
        <v>325</v>
      </c>
      <c r="C15" s="38"/>
      <c r="D15" s="38"/>
      <c r="E15" s="38"/>
      <c r="F15" s="38"/>
    </row>
    <row r="16" customFormat="false" ht="19.5" hidden="false" customHeight="true" outlineLevel="0" collapsed="false">
      <c r="B16" s="10" t="s">
        <v>330</v>
      </c>
      <c r="C16" s="38"/>
      <c r="D16" s="38"/>
      <c r="E16" s="38"/>
      <c r="F16" s="38"/>
    </row>
    <row r="17" customFormat="false" ht="19.5" hidden="false" customHeight="true" outlineLevel="0" collapsed="false">
      <c r="B17" s="10" t="s">
        <v>335</v>
      </c>
      <c r="C17" s="38"/>
      <c r="D17" s="38"/>
      <c r="E17" s="38"/>
      <c r="F17" s="38"/>
    </row>
    <row r="18" customFormat="false" ht="19.5" hidden="false" customHeight="true" outlineLevel="0" collapsed="false">
      <c r="B18" s="10" t="s">
        <v>340</v>
      </c>
      <c r="C18" s="38"/>
      <c r="D18" s="38"/>
      <c r="E18" s="38"/>
      <c r="F18" s="38"/>
    </row>
    <row r="19" customFormat="false" ht="19.5" hidden="false" customHeight="true" outlineLevel="0" collapsed="false">
      <c r="B19" s="10" t="s">
        <v>345</v>
      </c>
      <c r="C19" s="38"/>
      <c r="D19" s="38"/>
      <c r="E19" s="38"/>
      <c r="F19" s="38"/>
    </row>
    <row r="20" customFormat="false" ht="19.5" hidden="false" customHeight="true" outlineLevel="0" collapsed="false">
      <c r="B20" s="10" t="s">
        <v>350</v>
      </c>
      <c r="C20" s="38"/>
      <c r="D20" s="38"/>
      <c r="E20" s="38"/>
      <c r="F20" s="38"/>
    </row>
  </sheetData>
  <mergeCells count="3">
    <mergeCell ref="B1:E1"/>
    <mergeCell ref="B2:E2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38"/>
    <col collapsed="false" customWidth="true" hidden="false" outlineLevel="0" max="6" min="6" style="1" width="20"/>
  </cols>
  <sheetData>
    <row r="1" customFormat="false" ht="15" hidden="false" customHeight="true" outlineLevel="0" collapsed="false">
      <c r="B1" s="21" t="s">
        <v>361</v>
      </c>
      <c r="C1" s="21"/>
      <c r="D1" s="21"/>
      <c r="E1" s="21"/>
    </row>
    <row r="2" customFormat="false" ht="21.75" hidden="false" customHeight="true" outlineLevel="0" collapsed="false">
      <c r="B2" s="22" t="s">
        <v>362</v>
      </c>
      <c r="C2" s="22"/>
      <c r="D2" s="22"/>
      <c r="E2" s="22"/>
    </row>
    <row r="3" customFormat="false" ht="23.25" hidden="false" customHeight="true" outlineLevel="0" collapsed="false">
      <c r="B3" s="23" t="s">
        <v>363</v>
      </c>
      <c r="C3" s="23" t="s">
        <v>364</v>
      </c>
      <c r="D3" s="23" t="s">
        <v>365</v>
      </c>
      <c r="E3" s="23" t="s">
        <v>366</v>
      </c>
      <c r="F3" s="23" t="s">
        <v>367</v>
      </c>
    </row>
    <row r="4" customFormat="false" ht="60" hidden="false" customHeight="true" outlineLevel="0" collapsed="false">
      <c r="B4" s="37" t="s">
        <v>368</v>
      </c>
      <c r="C4" s="39" t="s">
        <v>369</v>
      </c>
      <c r="D4" s="16" t="n">
        <f aca="false">'4 - Grant Request'!C6*0.4</f>
        <v>0</v>
      </c>
      <c r="E4" s="12" t="s">
        <v>370</v>
      </c>
      <c r="F4" s="15"/>
    </row>
    <row r="5" customFormat="false" ht="60" hidden="false" customHeight="true" outlineLevel="0" collapsed="false">
      <c r="B5" s="37" t="s">
        <v>371</v>
      </c>
      <c r="C5" s="39" t="s">
        <v>369</v>
      </c>
      <c r="D5" s="16" t="n">
        <f aca="false">'4 - Grant Request'!C6*0.4</f>
        <v>0</v>
      </c>
      <c r="E5" s="12" t="s">
        <v>372</v>
      </c>
      <c r="F5" s="15"/>
    </row>
    <row r="6" customFormat="false" ht="60" hidden="false" customHeight="true" outlineLevel="0" collapsed="false">
      <c r="B6" s="37" t="s">
        <v>373</v>
      </c>
      <c r="C6" s="39" t="s">
        <v>374</v>
      </c>
      <c r="D6" s="16" t="n">
        <f aca="false">'4 - Grant Request'!C6*0.2</f>
        <v>0</v>
      </c>
      <c r="E6" s="12" t="s">
        <v>375</v>
      </c>
      <c r="F6" s="15"/>
    </row>
    <row r="7" customFormat="false" ht="19.5" hidden="false" customHeight="true" outlineLevel="0" collapsed="false">
      <c r="B7" s="29" t="s">
        <v>376</v>
      </c>
      <c r="D7" s="26" t="n">
        <f aca="false">SUM(D4:D6)</f>
        <v>0</v>
      </c>
    </row>
  </sheetData>
  <mergeCells count="2">
    <mergeCell ref="B1:E1"/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2026-06-19T09:33:21Z</dcterms:created>
  <dc:creator>openpyxl</dc:creator>
  <dc:description/>
  <dc:language>en-US</dc:language>
  <cp:lastModifiedBy/>
  <dcterms:modified xsi:type="dcterms:W3CDTF">2026-06-19T09:33:57Z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